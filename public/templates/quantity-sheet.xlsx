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05" windowWidth="27795" windowHeight="12285"/>
  </bookViews>
  <sheets>
    <sheet name="산출" sheetId="1" r:id="rId1"/>
    <sheet name="Sheet1" sheetId="2" r:id="rId2"/>
    <sheet name="Sheet2" sheetId="3" r:id="rId3"/>
  </sheets>
  <calcPr calcId="145621"/>
</workbook>
</file>

<file path=xl/calcChain.xml><?xml version="1.0" encoding="utf-8"?>
<calcChain xmlns="http://schemas.openxmlformats.org/spreadsheetml/2006/main">
  <c r="B92" i="1" l="1"/>
  <c r="B91" i="1"/>
  <c r="B90" i="1"/>
  <c r="B89" i="1"/>
  <c r="B34" i="1"/>
  <c r="B33" i="1"/>
  <c r="B32" i="1"/>
  <c r="B31" i="1"/>
  <c r="B30" i="1"/>
  <c r="B29" i="1"/>
  <c r="B28" i="1"/>
  <c r="B27" i="1"/>
  <c r="B26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21" i="1" l="1"/>
  <c r="B20" i="1"/>
  <c r="B19" i="1"/>
  <c r="B18" i="1"/>
  <c r="B17" i="1"/>
  <c r="B16" i="1"/>
  <c r="B15" i="1"/>
  <c r="B14" i="1"/>
  <c r="B13" i="1"/>
  <c r="B12" i="1"/>
  <c r="B11" i="1"/>
  <c r="B10" i="1"/>
  <c r="B107" i="1"/>
  <c r="B106" i="1"/>
  <c r="B105" i="1"/>
  <c r="B104" i="1"/>
  <c r="B102" i="1"/>
  <c r="B101" i="1"/>
  <c r="B100" i="1"/>
  <c r="B99" i="1"/>
  <c r="B98" i="1"/>
  <c r="B97" i="1"/>
  <c r="B96" i="1"/>
  <c r="B95" i="1"/>
  <c r="B94" i="1"/>
  <c r="B93" i="1"/>
  <c r="B88" i="1"/>
  <c r="B87" i="1"/>
  <c r="B86" i="1"/>
  <c r="B85" i="1"/>
  <c r="B82" i="1"/>
  <c r="B81" i="1"/>
  <c r="B80" i="1"/>
  <c r="B79" i="1"/>
  <c r="B78" i="1"/>
  <c r="B77" i="1"/>
  <c r="B76" i="1"/>
  <c r="B75" i="1"/>
  <c r="B74" i="1"/>
  <c r="B73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126" i="1"/>
  <c r="B125" i="1"/>
  <c r="B124" i="1"/>
  <c r="B25" i="1"/>
  <c r="B24" i="1"/>
</calcChain>
</file>

<file path=xl/sharedStrings.xml><?xml version="1.0" encoding="utf-8"?>
<sst xmlns="http://schemas.openxmlformats.org/spreadsheetml/2006/main" count="191" uniqueCount="94">
  <si>
    <t>내역</t>
    <phoneticPr fontId="2" type="noConversion"/>
  </si>
  <si>
    <t>#40</t>
    <phoneticPr fontId="2" type="noConversion"/>
  </si>
  <si>
    <t>FL</t>
    <phoneticPr fontId="2" type="noConversion"/>
  </si>
  <si>
    <t>용접식</t>
    <phoneticPr fontId="2" type="noConversion"/>
  </si>
  <si>
    <t>나사식</t>
    <phoneticPr fontId="2" type="noConversion"/>
  </si>
  <si>
    <t>25A X 25A</t>
    <phoneticPr fontId="2" type="noConversion"/>
  </si>
  <si>
    <t>32A X 25A</t>
    <phoneticPr fontId="2" type="noConversion"/>
  </si>
  <si>
    <t>32A X 32A</t>
    <phoneticPr fontId="2" type="noConversion"/>
  </si>
  <si>
    <t>40A X 25A</t>
    <phoneticPr fontId="2" type="noConversion"/>
  </si>
  <si>
    <t>40A X 32A</t>
    <phoneticPr fontId="2" type="noConversion"/>
  </si>
  <si>
    <t>40A X 40A</t>
    <phoneticPr fontId="2" type="noConversion"/>
  </si>
  <si>
    <t>50A X 25A</t>
    <phoneticPr fontId="2" type="noConversion"/>
  </si>
  <si>
    <t>50A X 32A</t>
    <phoneticPr fontId="2" type="noConversion"/>
  </si>
  <si>
    <t>50A X 50A</t>
    <phoneticPr fontId="2" type="noConversion"/>
  </si>
  <si>
    <t>레듀샤(S)</t>
    <phoneticPr fontId="2" type="noConversion"/>
  </si>
  <si>
    <t>32AX25A</t>
  </si>
  <si>
    <t>40AX25A</t>
  </si>
  <si>
    <t>40AX32A</t>
  </si>
  <si>
    <t>50AX25A</t>
  </si>
  <si>
    <t>50AX32A</t>
  </si>
  <si>
    <t>50AX40A</t>
  </si>
  <si>
    <t>주물소켓
(S)</t>
    <phoneticPr fontId="2" type="noConversion"/>
  </si>
  <si>
    <t>CAP(S)</t>
    <phoneticPr fontId="2" type="noConversion"/>
  </si>
  <si>
    <t>장니플</t>
    <phoneticPr fontId="2" type="noConversion"/>
  </si>
  <si>
    <t>25A X 100L</t>
    <phoneticPr fontId="2" type="noConversion"/>
  </si>
  <si>
    <t>※부속류는 국산품 사용을 원칙으로함.(25A*15A 헤드연결용 레듀셔 포함 산출 물량임 추후 산출후 청구예정)
(부속류는 불량이 있을수 있으니 여유있게 입고 부탁드립니다.)                    
※파이프 및 부속류는 실정산때,가감이 될수 있습니다.</t>
    <phoneticPr fontId="2" type="noConversion"/>
  </si>
  <si>
    <t>참고사항</t>
    <phoneticPr fontId="2" type="noConversion"/>
  </si>
  <si>
    <t>설계 담당자</t>
    <phoneticPr fontId="2" type="noConversion"/>
  </si>
  <si>
    <t>산출일자</t>
    <phoneticPr fontId="2" type="noConversion"/>
  </si>
  <si>
    <t>물량 산출량</t>
    <phoneticPr fontId="2" type="noConversion"/>
  </si>
  <si>
    <t>At amount of materials production</t>
    <phoneticPr fontId="2" type="noConversion"/>
  </si>
  <si>
    <t>50A*25A</t>
  </si>
  <si>
    <t>65A*25A</t>
  </si>
  <si>
    <t>80A*65A</t>
  </si>
  <si>
    <t>100A*65A</t>
  </si>
  <si>
    <t>125A*65A</t>
  </si>
  <si>
    <t>125A*80A</t>
  </si>
  <si>
    <t>150A*65A</t>
  </si>
  <si>
    <t>150A*80A</t>
  </si>
  <si>
    <t>150A*100A</t>
  </si>
  <si>
    <t>베벨티</t>
    <phoneticPr fontId="2" type="noConversion"/>
  </si>
  <si>
    <t>티(w)</t>
    <phoneticPr fontId="2" type="noConversion"/>
  </si>
  <si>
    <t>엘보(w)</t>
    <phoneticPr fontId="2" type="noConversion"/>
  </si>
  <si>
    <t>※</t>
    <phoneticPr fontId="2" type="noConversion"/>
  </si>
  <si>
    <t>용접부속</t>
    <phoneticPr fontId="2" type="noConversion"/>
  </si>
  <si>
    <t>나사부속</t>
    <phoneticPr fontId="2" type="noConversion"/>
  </si>
  <si>
    <t>65A</t>
    <phoneticPr fontId="2" type="noConversion"/>
  </si>
  <si>
    <t>80A</t>
    <phoneticPr fontId="2" type="noConversion"/>
  </si>
  <si>
    <t>-</t>
    <phoneticPr fontId="2" type="noConversion"/>
  </si>
  <si>
    <t>65A</t>
    <phoneticPr fontId="2" type="noConversion"/>
  </si>
  <si>
    <t>80A</t>
    <phoneticPr fontId="2" type="noConversion"/>
  </si>
  <si>
    <t>-</t>
    <phoneticPr fontId="2" type="noConversion"/>
  </si>
  <si>
    <t>E-MaIL : NICEEN7@NICEENTECH.KR</t>
    <phoneticPr fontId="2" type="noConversion"/>
  </si>
  <si>
    <t>경기도 화성시 남양읍 주석로 356</t>
    <phoneticPr fontId="2" type="noConversion"/>
  </si>
  <si>
    <t>특이부속</t>
    <phoneticPr fontId="2" type="noConversion"/>
  </si>
  <si>
    <t>플렌지</t>
    <phoneticPr fontId="2" type="noConversion"/>
  </si>
  <si>
    <t>32A</t>
    <phoneticPr fontId="2" type="noConversion"/>
  </si>
  <si>
    <t>50A</t>
    <phoneticPr fontId="2" type="noConversion"/>
  </si>
  <si>
    <t>80A</t>
    <phoneticPr fontId="2" type="noConversion"/>
  </si>
  <si>
    <t>125A</t>
    <phoneticPr fontId="2" type="noConversion"/>
  </si>
  <si>
    <t>150A</t>
    <phoneticPr fontId="2" type="noConversion"/>
  </si>
  <si>
    <t>40A</t>
    <phoneticPr fontId="2" type="noConversion"/>
  </si>
  <si>
    <t>100A</t>
    <phoneticPr fontId="2" type="noConversion"/>
  </si>
  <si>
    <t>베벨엘보</t>
    <phoneticPr fontId="2" type="noConversion"/>
  </si>
  <si>
    <t>비고</t>
    <phoneticPr fontId="2" type="noConversion"/>
  </si>
  <si>
    <t>청구</t>
    <phoneticPr fontId="2" type="noConversion"/>
  </si>
  <si>
    <t>현장명</t>
    <phoneticPr fontId="2" type="noConversion"/>
  </si>
  <si>
    <t>콤파스 / 여주가야리</t>
    <phoneticPr fontId="2" type="noConversion"/>
  </si>
  <si>
    <t>엘보(S)</t>
    <phoneticPr fontId="2" type="noConversion"/>
  </si>
  <si>
    <t>티(S)</t>
    <phoneticPr fontId="2" type="noConversion"/>
  </si>
  <si>
    <t>용접부속</t>
    <phoneticPr fontId="2" type="noConversion"/>
  </si>
  <si>
    <t>나사부속</t>
    <phoneticPr fontId="2" type="noConversion"/>
  </si>
  <si>
    <t>정심
레듀사(W)</t>
    <phoneticPr fontId="2" type="noConversion"/>
  </si>
  <si>
    <t>편심
레듀사(W)</t>
    <phoneticPr fontId="2" type="noConversion"/>
  </si>
  <si>
    <t>-</t>
    <phoneticPr fontId="2" type="noConversion"/>
  </si>
  <si>
    <t>-</t>
    <phoneticPr fontId="2" type="noConversion"/>
  </si>
  <si>
    <t>TEL : 031-352-1163 / FAX : 031-352-1164</t>
    <phoneticPr fontId="2" type="noConversion"/>
  </si>
  <si>
    <t>32AX25A</t>
    <phoneticPr fontId="2" type="noConversion"/>
  </si>
  <si>
    <t>25AX15A</t>
    <phoneticPr fontId="2" type="noConversion"/>
  </si>
  <si>
    <t>베벨티
(A)</t>
    <phoneticPr fontId="2" type="noConversion"/>
  </si>
  <si>
    <t>베벨티
(B)</t>
    <phoneticPr fontId="2" type="noConversion"/>
  </si>
  <si>
    <t>개선각</t>
    <phoneticPr fontId="2" type="noConversion"/>
  </si>
  <si>
    <t>25A</t>
    <phoneticPr fontId="2" type="noConversion"/>
  </si>
  <si>
    <t>32A</t>
    <phoneticPr fontId="2" type="noConversion"/>
  </si>
  <si>
    <t>40A</t>
    <phoneticPr fontId="2" type="noConversion"/>
  </si>
  <si>
    <t>50A</t>
    <phoneticPr fontId="2" type="noConversion"/>
  </si>
  <si>
    <t>65A</t>
    <phoneticPr fontId="2" type="noConversion"/>
  </si>
  <si>
    <t>80A</t>
    <phoneticPr fontId="2" type="noConversion"/>
  </si>
  <si>
    <t>-</t>
    <phoneticPr fontId="2" type="noConversion"/>
  </si>
  <si>
    <t>65A*32A</t>
    <phoneticPr fontId="2" type="noConversion"/>
  </si>
  <si>
    <t>45도
엘보(w)</t>
    <phoneticPr fontId="2" type="noConversion"/>
  </si>
  <si>
    <t>45도
엘보(S)</t>
    <phoneticPr fontId="2" type="noConversion"/>
  </si>
  <si>
    <t>N I C E  E N  T E C H</t>
    <phoneticPr fontId="2" type="noConversion"/>
  </si>
  <si>
    <t>물량산출서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</si>
</sst>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#,##0_ ;[Red]\-#,##0\ "/>
    <numFmt numFmtId="177" formatCode="0&quot;A&quot;"/>
    <numFmt numFmtId="178" formatCode="_(* #,##0_);_(* \(#,##0\);_(* &quot;-&quot;_);_(@_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sz val="1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name val="굴림"/>
      <family val="3"/>
      <charset val="129"/>
    </font>
    <font>
      <sz val="22"/>
      <color theme="1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6"/>
      <name val="HY견고딕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>
      <alignment vertical="center"/>
    </xf>
    <xf numFmtId="176" fontId="6" fillId="4" borderId="42" xfId="1" applyNumberFormat="1" applyFont="1" applyFill="1" applyBorder="1" applyAlignment="1">
      <alignment horizontal="center" vertical="center"/>
    </xf>
    <xf numFmtId="41" fontId="6" fillId="0" borderId="13" xfId="1" applyFont="1" applyBorder="1" applyAlignment="1">
      <alignment horizontal="center" vertical="center"/>
    </xf>
    <xf numFmtId="41" fontId="6" fillId="0" borderId="2" xfId="1" applyFont="1" applyBorder="1" applyAlignment="1">
      <alignment horizontal="center" vertical="center"/>
    </xf>
    <xf numFmtId="176" fontId="6" fillId="4" borderId="43" xfId="1" applyNumberFormat="1" applyFont="1" applyFill="1" applyBorder="1" applyAlignment="1">
      <alignment horizontal="center" vertical="center"/>
    </xf>
    <xf numFmtId="41" fontId="6" fillId="0" borderId="15" xfId="1" applyFont="1" applyBorder="1" applyAlignment="1">
      <alignment horizontal="center" vertical="center"/>
    </xf>
    <xf numFmtId="41" fontId="6" fillId="0" borderId="6" xfId="1" applyFont="1" applyBorder="1" applyAlignment="1">
      <alignment horizontal="center" vertical="center"/>
    </xf>
    <xf numFmtId="176" fontId="6" fillId="4" borderId="44" xfId="1" applyNumberFormat="1" applyFont="1" applyFill="1" applyBorder="1" applyAlignment="1">
      <alignment horizontal="center" vertical="center"/>
    </xf>
    <xf numFmtId="41" fontId="6" fillId="0" borderId="19" xfId="1" applyFont="1" applyBorder="1" applyAlignment="1">
      <alignment horizontal="center" vertical="center"/>
    </xf>
    <xf numFmtId="41" fontId="6" fillId="0" borderId="16" xfId="1" applyFont="1" applyBorder="1" applyAlignment="1">
      <alignment horizontal="center" vertical="center"/>
    </xf>
    <xf numFmtId="176" fontId="6" fillId="4" borderId="45" xfId="1" applyNumberFormat="1" applyFont="1" applyFill="1" applyBorder="1" applyAlignment="1">
      <alignment horizontal="center" vertical="center"/>
    </xf>
    <xf numFmtId="177" fontId="6" fillId="3" borderId="22" xfId="0" applyNumberFormat="1" applyFont="1" applyFill="1" applyBorder="1" applyAlignment="1">
      <alignment horizontal="center" vertical="center"/>
    </xf>
    <xf numFmtId="41" fontId="6" fillId="0" borderId="23" xfId="1" applyFont="1" applyBorder="1" applyAlignment="1">
      <alignment horizontal="center" vertical="center"/>
    </xf>
    <xf numFmtId="41" fontId="6" fillId="0" borderId="20" xfId="1" applyFont="1" applyBorder="1" applyAlignment="1">
      <alignment horizontal="center" vertical="center"/>
    </xf>
    <xf numFmtId="177" fontId="6" fillId="3" borderId="7" xfId="0" applyNumberFormat="1" applyFont="1" applyFill="1" applyBorder="1" applyAlignment="1">
      <alignment horizontal="center" vertical="center"/>
    </xf>
    <xf numFmtId="176" fontId="6" fillId="4" borderId="46" xfId="1" applyNumberFormat="1" applyFont="1" applyFill="1" applyBorder="1" applyAlignment="1">
      <alignment horizontal="center" vertical="center"/>
    </xf>
    <xf numFmtId="177" fontId="6" fillId="3" borderId="10" xfId="0" applyNumberFormat="1" applyFont="1" applyFill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41" fontId="6" fillId="0" borderId="9" xfId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76" fontId="6" fillId="4" borderId="47" xfId="1" applyNumberFormat="1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41" fontId="6" fillId="0" borderId="29" xfId="1" applyFont="1" applyBorder="1" applyAlignment="1">
      <alignment horizontal="center" vertical="center"/>
    </xf>
    <xf numFmtId="41" fontId="6" fillId="0" borderId="26" xfId="1" applyFont="1" applyBorder="1" applyAlignment="1">
      <alignment horizontal="center" vertical="center"/>
    </xf>
    <xf numFmtId="41" fontId="6" fillId="0" borderId="32" xfId="1" applyFont="1" applyBorder="1" applyAlignment="1">
      <alignment horizontal="center" vertical="center"/>
    </xf>
    <xf numFmtId="41" fontId="6" fillId="0" borderId="30" xfId="1" applyFont="1" applyBorder="1" applyAlignment="1">
      <alignment horizontal="center" vertical="center"/>
    </xf>
    <xf numFmtId="177" fontId="6" fillId="3" borderId="28" xfId="0" applyNumberFormat="1" applyFont="1" applyFill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3" xfId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4" xfId="1" applyFont="1" applyBorder="1" applyAlignment="1">
      <alignment horizontal="center" vertical="center"/>
    </xf>
    <xf numFmtId="177" fontId="6" fillId="3" borderId="18" xfId="0" applyNumberFormat="1" applyFont="1" applyFill="1" applyBorder="1" applyAlignment="1">
      <alignment horizontal="center" vertical="center"/>
    </xf>
    <xf numFmtId="176" fontId="6" fillId="4" borderId="50" xfId="1" applyNumberFormat="1" applyFont="1" applyFill="1" applyBorder="1" applyAlignment="1">
      <alignment horizontal="center" vertical="center"/>
    </xf>
    <xf numFmtId="41" fontId="6" fillId="0" borderId="40" xfId="1" applyFont="1" applyBorder="1" applyAlignment="1">
      <alignment horizontal="center" vertical="center"/>
    </xf>
    <xf numFmtId="41" fontId="6" fillId="0" borderId="37" xfId="1" applyFont="1" applyBorder="1" applyAlignment="1">
      <alignment horizontal="center" vertical="center"/>
    </xf>
    <xf numFmtId="176" fontId="6" fillId="0" borderId="52" xfId="1" applyNumberFormat="1" applyFont="1" applyFill="1" applyBorder="1" applyAlignment="1">
      <alignment horizontal="center" vertical="center"/>
    </xf>
    <xf numFmtId="0" fontId="6" fillId="0" borderId="52" xfId="0" applyFont="1" applyFill="1" applyBorder="1" applyAlignment="1">
      <alignment horizontal="center" vertical="center"/>
    </xf>
    <xf numFmtId="177" fontId="6" fillId="0" borderId="52" xfId="0" applyNumberFormat="1" applyFont="1" applyFill="1" applyBorder="1" applyAlignment="1">
      <alignment horizontal="center" vertical="center"/>
    </xf>
    <xf numFmtId="41" fontId="6" fillId="0" borderId="52" xfId="1" applyFont="1" applyFill="1" applyBorder="1" applyAlignment="1">
      <alignment horizontal="center" vertical="center"/>
    </xf>
    <xf numFmtId="41" fontId="10" fillId="0" borderId="6" xfId="1" applyFont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177" fontId="6" fillId="3" borderId="7" xfId="0" applyNumberFormat="1" applyFont="1" applyFill="1" applyBorder="1" applyAlignment="1">
      <alignment horizontal="center" vertical="center"/>
    </xf>
    <xf numFmtId="177" fontId="6" fillId="3" borderId="18" xfId="0" applyNumberFormat="1" applyFont="1" applyFill="1" applyBorder="1" applyAlignment="1">
      <alignment horizontal="center" vertical="center"/>
    </xf>
    <xf numFmtId="41" fontId="6" fillId="0" borderId="0" xfId="1" applyFont="1" applyFill="1" applyBorder="1" applyAlignment="1">
      <alignment horizontal="center" vertical="center"/>
    </xf>
    <xf numFmtId="41" fontId="6" fillId="5" borderId="23" xfId="1" applyFont="1" applyFill="1" applyBorder="1" applyAlignment="1">
      <alignment horizontal="center" vertical="center"/>
    </xf>
    <xf numFmtId="41" fontId="6" fillId="5" borderId="20" xfId="1" applyFont="1" applyFill="1" applyBorder="1" applyAlignment="1">
      <alignment horizontal="center" vertical="center"/>
    </xf>
    <xf numFmtId="41" fontId="6" fillId="5" borderId="15" xfId="1" applyFont="1" applyFill="1" applyBorder="1" applyAlignment="1">
      <alignment horizontal="center" vertical="center"/>
    </xf>
    <xf numFmtId="41" fontId="6" fillId="5" borderId="6" xfId="1" applyFont="1" applyFill="1" applyBorder="1" applyAlignment="1">
      <alignment horizontal="center" vertical="center"/>
    </xf>
    <xf numFmtId="41" fontId="10" fillId="5" borderId="6" xfId="1" applyFont="1" applyFill="1" applyBorder="1" applyAlignment="1">
      <alignment horizontal="center" vertical="center"/>
    </xf>
    <xf numFmtId="41" fontId="6" fillId="5" borderId="29" xfId="1" applyFont="1" applyFill="1" applyBorder="1" applyAlignment="1">
      <alignment horizontal="center" vertical="center"/>
    </xf>
    <xf numFmtId="41" fontId="6" fillId="5" borderId="26" xfId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41" fontId="6" fillId="0" borderId="64" xfId="1" applyFont="1" applyBorder="1" applyAlignment="1">
      <alignment horizontal="center" vertical="center"/>
    </xf>
    <xf numFmtId="41" fontId="6" fillId="0" borderId="65" xfId="1" applyFont="1" applyBorder="1" applyAlignment="1">
      <alignment horizontal="center" vertical="center"/>
    </xf>
    <xf numFmtId="41" fontId="6" fillId="0" borderId="66" xfId="1" applyFont="1" applyBorder="1" applyAlignment="1">
      <alignment horizontal="center" vertical="center"/>
    </xf>
    <xf numFmtId="41" fontId="6" fillId="0" borderId="67" xfId="1" applyFont="1" applyBorder="1" applyAlignment="1">
      <alignment horizontal="center" vertical="center"/>
    </xf>
    <xf numFmtId="41" fontId="6" fillId="0" borderId="68" xfId="1" applyFont="1" applyBorder="1" applyAlignment="1">
      <alignment horizontal="center" vertical="center"/>
    </xf>
    <xf numFmtId="41" fontId="6" fillId="0" borderId="69" xfId="1" applyFont="1" applyBorder="1" applyAlignment="1">
      <alignment horizontal="center" vertical="center"/>
    </xf>
    <xf numFmtId="41" fontId="6" fillId="0" borderId="70" xfId="1" applyFont="1" applyBorder="1" applyAlignment="1">
      <alignment horizontal="center" vertical="center"/>
    </xf>
    <xf numFmtId="41" fontId="6" fillId="0" borderId="58" xfId="1" applyFont="1" applyBorder="1" applyAlignment="1">
      <alignment horizontal="center" vertical="center"/>
    </xf>
    <xf numFmtId="41" fontId="6" fillId="0" borderId="71" xfId="1" applyFont="1" applyBorder="1" applyAlignment="1">
      <alignment horizontal="center" vertical="center"/>
    </xf>
    <xf numFmtId="41" fontId="6" fillId="0" borderId="72" xfId="1" applyFont="1" applyBorder="1" applyAlignment="1">
      <alignment horizontal="center" vertical="center"/>
    </xf>
    <xf numFmtId="41" fontId="10" fillId="0" borderId="67" xfId="1" applyFont="1" applyBorder="1" applyAlignment="1">
      <alignment horizontal="center" vertical="center"/>
    </xf>
    <xf numFmtId="41" fontId="10" fillId="0" borderId="65" xfId="1" applyFont="1" applyBorder="1" applyAlignment="1">
      <alignment horizontal="center" vertical="center"/>
    </xf>
    <xf numFmtId="41" fontId="6" fillId="5" borderId="67" xfId="1" applyFont="1" applyFill="1" applyBorder="1" applyAlignment="1">
      <alignment horizontal="center" vertical="center"/>
    </xf>
    <xf numFmtId="41" fontId="10" fillId="5" borderId="65" xfId="1" applyFont="1" applyFill="1" applyBorder="1" applyAlignment="1">
      <alignment horizontal="center" vertical="center"/>
    </xf>
    <xf numFmtId="41" fontId="10" fillId="5" borderId="69" xfId="1" applyFont="1" applyFill="1" applyBorder="1" applyAlignment="1">
      <alignment horizontal="center" vertical="center"/>
    </xf>
    <xf numFmtId="41" fontId="10" fillId="0" borderId="69" xfId="1" applyFont="1" applyBorder="1" applyAlignment="1">
      <alignment horizontal="center" vertical="center"/>
    </xf>
    <xf numFmtId="41" fontId="6" fillId="5" borderId="45" xfId="1" applyFont="1" applyFill="1" applyBorder="1" applyAlignment="1">
      <alignment horizontal="center" vertical="center"/>
    </xf>
    <xf numFmtId="41" fontId="10" fillId="5" borderId="43" xfId="1" applyFont="1" applyFill="1" applyBorder="1" applyAlignment="1">
      <alignment horizontal="center" vertical="center"/>
    </xf>
    <xf numFmtId="41" fontId="10" fillId="5" borderId="47" xfId="1" applyFont="1" applyFill="1" applyBorder="1" applyAlignment="1">
      <alignment horizontal="center" vertical="center"/>
    </xf>
    <xf numFmtId="41" fontId="6" fillId="5" borderId="42" xfId="1" applyFont="1" applyFill="1" applyBorder="1" applyAlignment="1">
      <alignment horizontal="center" vertical="center"/>
    </xf>
    <xf numFmtId="41" fontId="6" fillId="5" borderId="43" xfId="1" applyFont="1" applyFill="1" applyBorder="1" applyAlignment="1">
      <alignment horizontal="center" vertical="center"/>
    </xf>
    <xf numFmtId="41" fontId="6" fillId="5" borderId="44" xfId="1" applyFont="1" applyFill="1" applyBorder="1" applyAlignment="1">
      <alignment horizontal="center" vertical="center"/>
    </xf>
    <xf numFmtId="41" fontId="6" fillId="5" borderId="46" xfId="1" applyFont="1" applyFill="1" applyBorder="1" applyAlignment="1">
      <alignment horizontal="center" vertical="center"/>
    </xf>
    <xf numFmtId="41" fontId="6" fillId="5" borderId="47" xfId="1" applyFont="1" applyFill="1" applyBorder="1" applyAlignment="1">
      <alignment horizontal="center" vertical="center"/>
    </xf>
    <xf numFmtId="41" fontId="6" fillId="5" borderId="48" xfId="1" applyFont="1" applyFill="1" applyBorder="1" applyAlignment="1">
      <alignment horizontal="center" vertical="center"/>
    </xf>
    <xf numFmtId="41" fontId="6" fillId="5" borderId="41" xfId="1" applyFont="1" applyFill="1" applyBorder="1" applyAlignment="1">
      <alignment horizontal="center" vertical="center"/>
    </xf>
    <xf numFmtId="41" fontId="6" fillId="5" borderId="49" xfId="1" applyFont="1" applyFill="1" applyBorder="1" applyAlignment="1">
      <alignment horizontal="center" vertical="center"/>
    </xf>
    <xf numFmtId="41" fontId="6" fillId="5" borderId="50" xfId="1" applyFont="1" applyFill="1" applyBorder="1" applyAlignment="1">
      <alignment horizontal="center" vertical="center"/>
    </xf>
    <xf numFmtId="41" fontId="10" fillId="5" borderId="45" xfId="1" applyFont="1" applyFill="1" applyBorder="1" applyAlignment="1">
      <alignment horizontal="center" vertical="center"/>
    </xf>
    <xf numFmtId="41" fontId="10" fillId="5" borderId="46" xfId="1" applyFont="1" applyFill="1" applyBorder="1" applyAlignment="1">
      <alignment horizontal="center" vertical="center"/>
    </xf>
    <xf numFmtId="41" fontId="10" fillId="5" borderId="50" xfId="1" applyFont="1" applyFill="1" applyBorder="1" applyAlignment="1">
      <alignment horizontal="center" vertical="center"/>
    </xf>
    <xf numFmtId="176" fontId="6" fillId="4" borderId="73" xfId="1" applyNumberFormat="1" applyFont="1" applyFill="1" applyBorder="1" applyAlignment="1">
      <alignment horizontal="center" vertical="center"/>
    </xf>
    <xf numFmtId="176" fontId="6" fillId="4" borderId="74" xfId="1" applyNumberFormat="1" applyFont="1" applyFill="1" applyBorder="1" applyAlignment="1">
      <alignment horizontal="center" vertical="center"/>
    </xf>
    <xf numFmtId="176" fontId="6" fillId="4" borderId="63" xfId="1" applyNumberFormat="1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6" fillId="6" borderId="51" xfId="0" applyFont="1" applyFill="1" applyBorder="1" applyAlignment="1">
      <alignment horizontal="center" vertical="center"/>
    </xf>
    <xf numFmtId="177" fontId="6" fillId="6" borderId="51" xfId="0" applyNumberFormat="1" applyFont="1" applyFill="1" applyBorder="1" applyAlignment="1">
      <alignment horizontal="center" vertical="center"/>
    </xf>
    <xf numFmtId="0" fontId="0" fillId="6" borderId="51" xfId="0" applyFill="1" applyBorder="1">
      <alignment vertical="center"/>
    </xf>
    <xf numFmtId="177" fontId="6" fillId="7" borderId="51" xfId="0" applyNumberFormat="1" applyFont="1" applyFill="1" applyBorder="1" applyAlignment="1">
      <alignment horizontal="center" vertical="center"/>
    </xf>
    <xf numFmtId="0" fontId="6" fillId="7" borderId="51" xfId="0" applyFont="1" applyFill="1" applyBorder="1" applyAlignment="1">
      <alignment horizontal="center" vertical="center"/>
    </xf>
    <xf numFmtId="0" fontId="0" fillId="7" borderId="51" xfId="0" applyFill="1" applyBorder="1">
      <alignment vertical="center"/>
    </xf>
    <xf numFmtId="176" fontId="6" fillId="4" borderId="5" xfId="1" applyNumberFormat="1" applyFont="1" applyFill="1" applyBorder="1" applyAlignment="1">
      <alignment horizontal="center" vertical="center"/>
    </xf>
    <xf numFmtId="176" fontId="6" fillId="4" borderId="8" xfId="1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3" borderId="51" xfId="0" applyFont="1" applyFill="1" applyBorder="1" applyAlignment="1">
      <alignment horizontal="distributed" vertical="center" indent="1"/>
    </xf>
    <xf numFmtId="0" fontId="6" fillId="3" borderId="31" xfId="0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10" fillId="3" borderId="21" xfId="2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center" vertical="center"/>
    </xf>
    <xf numFmtId="0" fontId="10" fillId="3" borderId="27" xfId="2" applyFont="1" applyFill="1" applyBorder="1" applyAlignment="1">
      <alignment horizontal="center" vertical="center"/>
    </xf>
    <xf numFmtId="0" fontId="6" fillId="3" borderId="77" xfId="0" applyFont="1" applyFill="1" applyBorder="1" applyAlignment="1">
      <alignment horizontal="center" vertical="center"/>
    </xf>
    <xf numFmtId="177" fontId="6" fillId="3" borderId="14" xfId="0" applyNumberFormat="1" applyFont="1" applyFill="1" applyBorder="1" applyAlignment="1">
      <alignment horizontal="center" vertical="center"/>
    </xf>
    <xf numFmtId="177" fontId="6" fillId="3" borderId="7" xfId="0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 wrapText="1"/>
    </xf>
    <xf numFmtId="177" fontId="6" fillId="3" borderId="17" xfId="0" applyNumberFormat="1" applyFont="1" applyFill="1" applyBorder="1" applyAlignment="1">
      <alignment horizontal="center" vertical="center"/>
    </xf>
    <xf numFmtId="177" fontId="6" fillId="3" borderId="18" xfId="0" applyNumberFormat="1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56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7" borderId="51" xfId="0" applyFont="1" applyFill="1" applyBorder="1" applyAlignment="1">
      <alignment horizontal="center" vertical="center"/>
    </xf>
    <xf numFmtId="0" fontId="6" fillId="7" borderId="51" xfId="0" applyFont="1" applyFill="1" applyBorder="1" applyAlignment="1">
      <alignment horizontal="center" vertical="center" wrapText="1"/>
    </xf>
    <xf numFmtId="0" fontId="6" fillId="6" borderId="7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76" xfId="0" applyFont="1" applyFill="1" applyBorder="1" applyAlignment="1">
      <alignment horizontal="center" vertical="center" wrapText="1"/>
    </xf>
    <xf numFmtId="0" fontId="6" fillId="7" borderId="61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horizontal="center" vertical="center"/>
    </xf>
    <xf numFmtId="0" fontId="10" fillId="7" borderId="51" xfId="2" applyFont="1" applyFill="1" applyBorder="1" applyAlignment="1">
      <alignment horizontal="center" vertical="center"/>
    </xf>
    <xf numFmtId="0" fontId="6" fillId="4" borderId="84" xfId="0" applyFont="1" applyFill="1" applyBorder="1" applyAlignment="1">
      <alignment horizontal="center" vertical="center"/>
    </xf>
    <xf numFmtId="0" fontId="6" fillId="3" borderId="85" xfId="0" applyFont="1" applyFill="1" applyBorder="1" applyAlignment="1">
      <alignment horizontal="center" vertical="center"/>
    </xf>
    <xf numFmtId="0" fontId="6" fillId="3" borderId="86" xfId="0" applyFont="1" applyFill="1" applyBorder="1" applyAlignment="1">
      <alignment horizontal="center" vertical="center" wrapText="1"/>
    </xf>
    <xf numFmtId="0" fontId="6" fillId="4" borderId="77" xfId="0" applyFont="1" applyFill="1" applyBorder="1" applyAlignment="1">
      <alignment horizontal="center" vertical="center"/>
    </xf>
    <xf numFmtId="0" fontId="6" fillId="3" borderId="87" xfId="0" applyFont="1" applyFill="1" applyBorder="1" applyAlignment="1">
      <alignment horizontal="center" vertical="center"/>
    </xf>
    <xf numFmtId="0" fontId="6" fillId="3" borderId="88" xfId="0" applyFont="1" applyFill="1" applyBorder="1" applyAlignment="1">
      <alignment horizontal="center" vertical="center" wrapText="1"/>
    </xf>
    <xf numFmtId="0" fontId="3" fillId="0" borderId="85" xfId="0" applyFont="1" applyBorder="1" applyAlignment="1">
      <alignment vertical="center"/>
    </xf>
    <xf numFmtId="0" fontId="3" fillId="0" borderId="87" xfId="0" applyFont="1" applyBorder="1" applyAlignment="1">
      <alignment vertical="center"/>
    </xf>
    <xf numFmtId="0" fontId="0" fillId="8" borderId="0" xfId="0" applyFill="1">
      <alignment vertical="center"/>
    </xf>
    <xf numFmtId="0" fontId="7" fillId="8" borderId="0" xfId="0" applyFont="1" applyFill="1" applyBorder="1" applyAlignment="1">
      <alignment horizontal="center" vertical="center"/>
    </xf>
    <xf numFmtId="0" fontId="3" fillId="8" borderId="54" xfId="0" applyFont="1" applyFill="1" applyBorder="1" applyAlignment="1">
      <alignment horizontal="center" vertical="center"/>
    </xf>
    <xf numFmtId="0" fontId="3" fillId="8" borderId="0" xfId="0" applyFont="1" applyFill="1">
      <alignment vertical="center"/>
    </xf>
    <xf numFmtId="176" fontId="3" fillId="8" borderId="0" xfId="0" applyNumberFormat="1" applyFont="1" applyFill="1">
      <alignment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41" fontId="10" fillId="0" borderId="72" xfId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9" fontId="13" fillId="0" borderId="0" xfId="9" applyFont="1" applyBorder="1" applyAlignment="1">
      <alignment vertical="center"/>
    </xf>
    <xf numFmtId="0" fontId="6" fillId="3" borderId="90" xfId="0" applyFont="1" applyFill="1" applyBorder="1" applyAlignment="1">
      <alignment horizontal="center" vertical="center"/>
    </xf>
    <xf numFmtId="0" fontId="6" fillId="0" borderId="91" xfId="0" applyFont="1" applyBorder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0" fontId="6" fillId="3" borderId="93" xfId="0" applyFont="1" applyFill="1" applyBorder="1" applyAlignment="1">
      <alignment horizontal="distributed" vertical="center" indent="1"/>
    </xf>
    <xf numFmtId="0" fontId="6" fillId="3" borderId="94" xfId="0" applyFont="1" applyFill="1" applyBorder="1" applyAlignment="1">
      <alignment horizontal="distributed" vertical="center" indent="1"/>
    </xf>
    <xf numFmtId="0" fontId="6" fillId="0" borderId="93" xfId="0" applyFont="1" applyBorder="1" applyAlignment="1">
      <alignment horizontal="center" vertical="center"/>
    </xf>
    <xf numFmtId="0" fontId="6" fillId="0" borderId="94" xfId="0" applyFont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/>
    </xf>
    <xf numFmtId="0" fontId="3" fillId="0" borderId="96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6" fillId="0" borderId="63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89" xfId="0" applyFont="1" applyBorder="1" applyAlignment="1">
      <alignment horizontal="left" vertical="center" indent="1"/>
    </xf>
    <xf numFmtId="0" fontId="6" fillId="0" borderId="82" xfId="0" applyFont="1" applyBorder="1" applyAlignment="1">
      <alignment horizontal="left" vertical="center" indent="1"/>
    </xf>
    <xf numFmtId="0" fontId="6" fillId="0" borderId="78" xfId="0" applyFont="1" applyBorder="1" applyAlignment="1">
      <alignment horizontal="left" vertical="center" indent="1"/>
    </xf>
    <xf numFmtId="0" fontId="6" fillId="0" borderId="83" xfId="0" applyFont="1" applyBorder="1" applyAlignment="1">
      <alignment horizontal="left" vertical="center" indent="1"/>
    </xf>
    <xf numFmtId="0" fontId="12" fillId="0" borderId="0" xfId="0" applyFont="1" applyBorder="1" applyAlignment="1">
      <alignment vertical="center"/>
    </xf>
    <xf numFmtId="0" fontId="14" fillId="0" borderId="0" xfId="0" applyFont="1" applyBorder="1" applyAlignment="1">
      <alignment horizontal="distributed" vertical="center" indent="1"/>
    </xf>
    <xf numFmtId="0" fontId="14" fillId="0" borderId="54" xfId="0" applyFont="1" applyBorder="1" applyAlignment="1">
      <alignment horizontal="distributed" vertical="center" indent="1"/>
    </xf>
    <xf numFmtId="0" fontId="15" fillId="0" borderId="79" xfId="0" applyFont="1" applyBorder="1" applyAlignment="1">
      <alignment horizontal="distributed" vertical="center" indent="1"/>
    </xf>
    <xf numFmtId="0" fontId="15" fillId="0" borderId="80" xfId="0" applyFont="1" applyBorder="1" applyAlignment="1">
      <alignment horizontal="distributed" vertical="center" indent="1"/>
    </xf>
    <xf numFmtId="0" fontId="15" fillId="0" borderId="81" xfId="0" applyFont="1" applyBorder="1" applyAlignment="1">
      <alignment horizontal="distributed" vertical="center" indent="1"/>
    </xf>
    <xf numFmtId="0" fontId="15" fillId="0" borderId="97" xfId="0" applyFont="1" applyBorder="1" applyAlignment="1">
      <alignment horizontal="distributed" vertical="center" indent="1"/>
    </xf>
    <xf numFmtId="0" fontId="15" fillId="0" borderId="54" xfId="0" applyFont="1" applyBorder="1" applyAlignment="1">
      <alignment horizontal="distributed" vertical="center" indent="1"/>
    </xf>
    <xf numFmtId="0" fontId="15" fillId="0" borderId="98" xfId="0" applyFont="1" applyBorder="1" applyAlignment="1">
      <alignment horizontal="distributed" vertical="center" indent="1"/>
    </xf>
  </cellXfs>
  <cellStyles count="10">
    <cellStyle name="백분율" xfId="9" builtinId="5"/>
    <cellStyle name="쉼표 [0]" xfId="1" builtinId="6"/>
    <cellStyle name="쉼표 [0] 2" xfId="3"/>
    <cellStyle name="쉼표 [0] 2 2" xfId="4"/>
    <cellStyle name="쉼표 [0] 3" xfId="5"/>
    <cellStyle name="쉼표 [0] 4" xfId="6"/>
    <cellStyle name="쉼표 [0] 5" xfId="7"/>
    <cellStyle name="표준" xfId="0" builtinId="0"/>
    <cellStyle name="표준 2" xfId="2"/>
    <cellStyle name="표준 3" xfId="8"/>
  </cellStyles>
  <dxfs count="0"/>
  <tableStyles count="0" defaultTableStyle="TableStyleMedium2" defaultPivotStyle="PivotStyleLight16"/>
  <colors>
    <mruColors>
      <color rgb="FF3399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1189</xdr:colOff>
      <xdr:row>18</xdr:row>
      <xdr:rowOff>16667</xdr:rowOff>
    </xdr:from>
    <xdr:ext cx="2892029" cy="51161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9627" y="3820714"/>
          <a:ext cx="2892029" cy="5116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64"/>
  <sheetViews>
    <sheetView showZeros="0" tabSelected="1" view="pageBreakPreview" zoomScaleNormal="100" zoomScaleSheetLayoutView="100" workbookViewId="0">
      <selection activeCell="F5" sqref="F5"/>
    </sheetView>
  </sheetViews>
  <sheetFormatPr defaultRowHeight="15.95" customHeight="1" x14ac:dyDescent="0.3"/>
  <cols>
    <col min="1" max="1" width="2.625" style="2" customWidth="1"/>
    <col min="2" max="3" width="9" style="1"/>
    <col min="4" max="4" width="10.625" style="1" customWidth="1"/>
    <col min="5" max="11" width="12.625" style="1" customWidth="1"/>
    <col min="12" max="19" width="12.625" style="2" customWidth="1"/>
    <col min="20" max="16384" width="9" style="2"/>
  </cols>
  <sheetData>
    <row r="1" spans="2:18" ht="15.75" customHeight="1" thickBot="1" x14ac:dyDescent="0.35"/>
    <row r="2" spans="2:18" ht="15.75" customHeight="1" x14ac:dyDescent="0.3">
      <c r="B2" s="180" t="s">
        <v>28</v>
      </c>
      <c r="C2" s="181"/>
      <c r="D2" s="182"/>
      <c r="F2" s="197" t="s">
        <v>93</v>
      </c>
      <c r="G2" s="197"/>
      <c r="I2" s="199" t="s">
        <v>92</v>
      </c>
      <c r="J2" s="200"/>
      <c r="K2" s="201"/>
    </row>
    <row r="3" spans="2:18" ht="15.75" customHeight="1" thickBot="1" x14ac:dyDescent="0.35">
      <c r="B3" s="183" t="s">
        <v>66</v>
      </c>
      <c r="C3" s="109"/>
      <c r="D3" s="184"/>
      <c r="F3" s="198"/>
      <c r="G3" s="198"/>
      <c r="H3" s="179"/>
      <c r="I3" s="202"/>
      <c r="J3" s="203"/>
      <c r="K3" s="204"/>
      <c r="P3" s="178"/>
      <c r="Q3" s="176"/>
      <c r="R3" s="176"/>
    </row>
    <row r="4" spans="2:18" ht="15.75" customHeight="1" thickTop="1" x14ac:dyDescent="0.3">
      <c r="B4" s="185" t="s">
        <v>67</v>
      </c>
      <c r="C4" s="108"/>
      <c r="D4" s="186"/>
      <c r="E4" s="177"/>
      <c r="F4" s="179"/>
      <c r="G4" s="179"/>
      <c r="H4" s="179"/>
      <c r="I4" s="190" t="s">
        <v>53</v>
      </c>
      <c r="J4" s="191"/>
      <c r="K4" s="192"/>
      <c r="P4" s="178"/>
      <c r="Q4" s="176"/>
      <c r="R4" s="176"/>
    </row>
    <row r="5" spans="2:18" ht="15.75" customHeight="1" x14ac:dyDescent="0.3">
      <c r="B5" s="185"/>
      <c r="C5" s="108"/>
      <c r="D5" s="186"/>
      <c r="E5" s="177"/>
      <c r="F5" s="196"/>
      <c r="G5" s="196"/>
      <c r="H5" s="177"/>
      <c r="I5" s="190" t="s">
        <v>76</v>
      </c>
      <c r="J5" s="191"/>
      <c r="K5" s="192"/>
    </row>
    <row r="6" spans="2:18" ht="15.75" customHeight="1" thickBot="1" x14ac:dyDescent="0.35">
      <c r="B6" s="187" t="s">
        <v>27</v>
      </c>
      <c r="C6" s="188"/>
      <c r="D6" s="189"/>
      <c r="E6" s="177"/>
      <c r="F6" s="196"/>
      <c r="G6" s="196"/>
      <c r="H6" s="177"/>
      <c r="I6" s="193" t="s">
        <v>52</v>
      </c>
      <c r="J6" s="194"/>
      <c r="K6" s="195"/>
    </row>
    <row r="7" spans="2:18" ht="15.75" customHeight="1" thickBot="1" x14ac:dyDescent="0.35">
      <c r="L7" s="3"/>
      <c r="P7" s="3"/>
    </row>
    <row r="8" spans="2:18" ht="15.75" customHeight="1" x14ac:dyDescent="0.3">
      <c r="B8" s="160" t="s">
        <v>65</v>
      </c>
      <c r="C8" s="161" t="s">
        <v>0</v>
      </c>
      <c r="D8" s="161"/>
      <c r="E8" s="166"/>
      <c r="F8" s="166"/>
      <c r="G8" s="166"/>
      <c r="H8" s="166"/>
      <c r="I8" s="166"/>
      <c r="J8" s="166"/>
      <c r="K8" s="162" t="s">
        <v>64</v>
      </c>
      <c r="L8" s="3"/>
      <c r="P8" s="3"/>
    </row>
    <row r="9" spans="2:18" ht="60" customHeight="1" thickBot="1" x14ac:dyDescent="0.35">
      <c r="B9" s="163"/>
      <c r="C9" s="164"/>
      <c r="D9" s="164"/>
      <c r="E9" s="167"/>
      <c r="F9" s="167"/>
      <c r="G9" s="167"/>
      <c r="H9" s="167"/>
      <c r="I9" s="167"/>
      <c r="J9" s="167"/>
      <c r="K9" s="165"/>
      <c r="L9" s="3"/>
      <c r="M9" s="3"/>
      <c r="N9" s="3"/>
      <c r="O9" s="3"/>
      <c r="P9" s="3"/>
    </row>
    <row r="10" spans="2:18" ht="15.95" customHeight="1" x14ac:dyDescent="0.3">
      <c r="B10" s="8">
        <f t="shared" ref="B10:B21" si="0">SUM(E10:J10)</f>
        <v>0</v>
      </c>
      <c r="C10" s="127">
        <v>25</v>
      </c>
      <c r="D10" s="128"/>
      <c r="E10" s="9"/>
      <c r="F10" s="10"/>
      <c r="G10" s="10"/>
      <c r="H10" s="10"/>
      <c r="I10" s="10"/>
      <c r="J10" s="63"/>
      <c r="K10" s="82"/>
      <c r="L10" s="3"/>
    </row>
    <row r="11" spans="2:18" ht="15.95" customHeight="1" x14ac:dyDescent="0.3">
      <c r="B11" s="11">
        <f t="shared" si="0"/>
        <v>0</v>
      </c>
      <c r="C11" s="125">
        <v>32</v>
      </c>
      <c r="D11" s="126"/>
      <c r="E11" s="12"/>
      <c r="F11" s="13"/>
      <c r="G11" s="13"/>
      <c r="H11" s="13"/>
      <c r="I11" s="13"/>
      <c r="J11" s="64"/>
      <c r="K11" s="83"/>
      <c r="L11" s="3"/>
    </row>
    <row r="12" spans="2:18" ht="15.95" customHeight="1" x14ac:dyDescent="0.3">
      <c r="B12" s="11">
        <f t="shared" si="0"/>
        <v>0</v>
      </c>
      <c r="C12" s="125">
        <v>40</v>
      </c>
      <c r="D12" s="126"/>
      <c r="E12" s="12"/>
      <c r="F12" s="13"/>
      <c r="G12" s="13"/>
      <c r="H12" s="13"/>
      <c r="I12" s="13"/>
      <c r="J12" s="64"/>
      <c r="K12" s="83"/>
      <c r="L12" s="3"/>
      <c r="M12" s="3"/>
      <c r="N12" s="3"/>
      <c r="O12" s="3"/>
      <c r="P12" s="3"/>
    </row>
    <row r="13" spans="2:18" ht="15.95" customHeight="1" x14ac:dyDescent="0.3">
      <c r="B13" s="11">
        <f t="shared" si="0"/>
        <v>0</v>
      </c>
      <c r="C13" s="125">
        <v>50</v>
      </c>
      <c r="D13" s="126"/>
      <c r="E13" s="12"/>
      <c r="F13" s="13"/>
      <c r="G13" s="13"/>
      <c r="H13" s="13"/>
      <c r="I13" s="13"/>
      <c r="J13" s="64"/>
      <c r="K13" s="83"/>
      <c r="L13" s="3"/>
      <c r="M13" s="3"/>
      <c r="O13" s="3"/>
      <c r="P13" s="3"/>
    </row>
    <row r="14" spans="2:18" ht="15.95" customHeight="1" x14ac:dyDescent="0.3">
      <c r="B14" s="11">
        <f t="shared" si="0"/>
        <v>0</v>
      </c>
      <c r="C14" s="125">
        <v>65</v>
      </c>
      <c r="D14" s="126"/>
      <c r="E14" s="12"/>
      <c r="F14" s="13"/>
      <c r="G14" s="13"/>
      <c r="H14" s="13"/>
      <c r="I14" s="13"/>
      <c r="J14" s="64"/>
      <c r="K14" s="83"/>
      <c r="L14" s="3"/>
      <c r="M14" s="3"/>
      <c r="N14" s="3"/>
      <c r="P14" s="3"/>
    </row>
    <row r="15" spans="2:18" ht="15.95" customHeight="1" x14ac:dyDescent="0.3">
      <c r="B15" s="11">
        <f t="shared" si="0"/>
        <v>0</v>
      </c>
      <c r="C15" s="125">
        <v>80</v>
      </c>
      <c r="D15" s="126"/>
      <c r="E15" s="12"/>
      <c r="F15" s="13"/>
      <c r="G15" s="13"/>
      <c r="H15" s="13"/>
      <c r="I15" s="13"/>
      <c r="J15" s="64"/>
      <c r="K15" s="83"/>
      <c r="L15" s="3"/>
      <c r="M15" s="3"/>
      <c r="N15" s="3"/>
      <c r="P15" s="3"/>
    </row>
    <row r="16" spans="2:18" ht="15.95" customHeight="1" x14ac:dyDescent="0.3">
      <c r="B16" s="11">
        <f t="shared" si="0"/>
        <v>0</v>
      </c>
      <c r="C16" s="125">
        <v>100</v>
      </c>
      <c r="D16" s="126"/>
      <c r="E16" s="12"/>
      <c r="F16" s="13"/>
      <c r="G16" s="13"/>
      <c r="H16" s="13"/>
      <c r="I16" s="13"/>
      <c r="J16" s="64"/>
      <c r="K16" s="83"/>
      <c r="L16" s="3"/>
      <c r="M16" s="3"/>
      <c r="N16" s="3"/>
      <c r="P16" s="3"/>
    </row>
    <row r="17" spans="2:16" ht="15.95" customHeight="1" x14ac:dyDescent="0.3">
      <c r="B17" s="11">
        <f t="shared" si="0"/>
        <v>0</v>
      </c>
      <c r="C17" s="125">
        <v>125</v>
      </c>
      <c r="D17" s="126"/>
      <c r="E17" s="12"/>
      <c r="F17" s="13"/>
      <c r="G17" s="13"/>
      <c r="H17" s="13"/>
      <c r="I17" s="13"/>
      <c r="J17" s="64"/>
      <c r="K17" s="83"/>
      <c r="L17" s="3"/>
      <c r="M17" s="3"/>
      <c r="N17" s="3"/>
      <c r="P17" s="3"/>
    </row>
    <row r="18" spans="2:16" ht="15.95" customHeight="1" thickBot="1" x14ac:dyDescent="0.35">
      <c r="B18" s="14">
        <f t="shared" si="0"/>
        <v>0</v>
      </c>
      <c r="C18" s="130">
        <v>150</v>
      </c>
      <c r="D18" s="131"/>
      <c r="E18" s="15"/>
      <c r="F18" s="16"/>
      <c r="G18" s="16"/>
      <c r="H18" s="16"/>
      <c r="I18" s="16"/>
      <c r="J18" s="65"/>
      <c r="K18" s="84"/>
      <c r="L18" s="3"/>
      <c r="M18" s="3"/>
      <c r="N18" s="3"/>
      <c r="P18" s="3"/>
    </row>
    <row r="19" spans="2:16" ht="15.95" customHeight="1" thickTop="1" x14ac:dyDescent="0.3">
      <c r="B19" s="17">
        <f t="shared" si="0"/>
        <v>0</v>
      </c>
      <c r="C19" s="132" t="s">
        <v>1</v>
      </c>
      <c r="D19" s="18">
        <v>100</v>
      </c>
      <c r="E19" s="19"/>
      <c r="F19" s="20"/>
      <c r="G19" s="20"/>
      <c r="H19" s="20"/>
      <c r="I19" s="20"/>
      <c r="J19" s="66"/>
      <c r="K19" s="79"/>
      <c r="L19" s="3"/>
      <c r="M19" s="3"/>
      <c r="N19" s="3"/>
      <c r="O19" s="3"/>
      <c r="P19" s="3"/>
    </row>
    <row r="20" spans="2:16" ht="15.95" customHeight="1" x14ac:dyDescent="0.3">
      <c r="B20" s="11">
        <f t="shared" si="0"/>
        <v>0</v>
      </c>
      <c r="C20" s="133"/>
      <c r="D20" s="21">
        <v>125</v>
      </c>
      <c r="E20" s="12"/>
      <c r="F20" s="13"/>
      <c r="G20" s="13"/>
      <c r="H20" s="13"/>
      <c r="I20" s="13"/>
      <c r="J20" s="64"/>
      <c r="K20" s="83"/>
      <c r="L20" s="3"/>
      <c r="M20" s="3"/>
      <c r="N20" s="3"/>
      <c r="O20" s="3"/>
      <c r="P20" s="3"/>
    </row>
    <row r="21" spans="2:16" ht="15.95" customHeight="1" thickBot="1" x14ac:dyDescent="0.35">
      <c r="B21" s="22">
        <f t="shared" si="0"/>
        <v>0</v>
      </c>
      <c r="C21" s="134"/>
      <c r="D21" s="23">
        <v>150</v>
      </c>
      <c r="E21" s="24"/>
      <c r="F21" s="25"/>
      <c r="G21" s="25"/>
      <c r="H21" s="25"/>
      <c r="I21" s="25"/>
      <c r="J21" s="67"/>
      <c r="K21" s="85"/>
      <c r="L21" s="3"/>
      <c r="M21" s="3"/>
      <c r="N21" s="3"/>
      <c r="O21" s="3"/>
      <c r="P21" s="3"/>
    </row>
    <row r="22" spans="2:16" s="6" customFormat="1" ht="15.95" customHeight="1" thickBot="1" x14ac:dyDescent="0.35"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2:16" s="6" customFormat="1" ht="15.95" customHeight="1" thickBot="1" x14ac:dyDescent="0.35">
      <c r="B23" s="51" t="s">
        <v>43</v>
      </c>
      <c r="C23" s="117" t="s">
        <v>44</v>
      </c>
      <c r="D23" s="118"/>
      <c r="E23" s="26"/>
      <c r="F23" s="26"/>
      <c r="G23" s="26"/>
      <c r="H23" s="26"/>
      <c r="I23" s="26"/>
      <c r="J23" s="26"/>
      <c r="K23" s="26"/>
    </row>
    <row r="24" spans="2:16" ht="15.95" customHeight="1" x14ac:dyDescent="0.3">
      <c r="B24" s="8">
        <f>SUM(E24:J24)</f>
        <v>0</v>
      </c>
      <c r="C24" s="135" t="s">
        <v>2</v>
      </c>
      <c r="D24" s="27" t="s">
        <v>3</v>
      </c>
      <c r="E24" s="9"/>
      <c r="F24" s="10"/>
      <c r="G24" s="10"/>
      <c r="H24" s="10"/>
      <c r="I24" s="10"/>
      <c r="J24" s="63"/>
      <c r="K24" s="82"/>
    </row>
    <row r="25" spans="2:16" ht="15.75" customHeight="1" thickBot="1" x14ac:dyDescent="0.35">
      <c r="B25" s="28">
        <f t="shared" ref="B25:B82" si="1">SUM(E25:J25)</f>
        <v>0</v>
      </c>
      <c r="C25" s="120"/>
      <c r="D25" s="29" t="s">
        <v>4</v>
      </c>
      <c r="E25" s="30"/>
      <c r="F25" s="31"/>
      <c r="G25" s="31"/>
      <c r="H25" s="31"/>
      <c r="I25" s="31"/>
      <c r="J25" s="68"/>
      <c r="K25" s="86"/>
    </row>
    <row r="26" spans="2:16" ht="15.75" customHeight="1" thickTop="1" x14ac:dyDescent="0.3">
      <c r="B26" s="17">
        <f t="shared" ref="B26:B34" si="2">SUM(E26:J26)</f>
        <v>0</v>
      </c>
      <c r="C26" s="113" t="s">
        <v>90</v>
      </c>
      <c r="D26" s="18">
        <v>25</v>
      </c>
      <c r="E26" s="32"/>
      <c r="F26" s="33"/>
      <c r="G26" s="33"/>
      <c r="H26" s="33"/>
      <c r="I26" s="33"/>
      <c r="J26" s="69"/>
      <c r="K26" s="87"/>
    </row>
    <row r="27" spans="2:16" ht="15.75" customHeight="1" x14ac:dyDescent="0.3">
      <c r="B27" s="11">
        <f t="shared" si="2"/>
        <v>0</v>
      </c>
      <c r="C27" s="114"/>
      <c r="D27" s="52">
        <v>32</v>
      </c>
      <c r="E27" s="37"/>
      <c r="F27" s="38"/>
      <c r="G27" s="38"/>
      <c r="H27" s="38"/>
      <c r="I27" s="38"/>
      <c r="J27" s="70"/>
      <c r="K27" s="88"/>
    </row>
    <row r="28" spans="2:16" ht="15.75" customHeight="1" x14ac:dyDescent="0.3">
      <c r="B28" s="11">
        <f t="shared" si="2"/>
        <v>0</v>
      </c>
      <c r="C28" s="114"/>
      <c r="D28" s="52">
        <v>40</v>
      </c>
      <c r="E28" s="37"/>
      <c r="F28" s="38"/>
      <c r="G28" s="38"/>
      <c r="H28" s="38"/>
      <c r="I28" s="38"/>
      <c r="J28" s="70"/>
      <c r="K28" s="88"/>
    </row>
    <row r="29" spans="2:16" ht="15.75" customHeight="1" x14ac:dyDescent="0.3">
      <c r="B29" s="14">
        <f t="shared" si="2"/>
        <v>0</v>
      </c>
      <c r="C29" s="115"/>
      <c r="D29" s="53">
        <v>50</v>
      </c>
      <c r="E29" s="37"/>
      <c r="F29" s="38"/>
      <c r="G29" s="38"/>
      <c r="H29" s="38"/>
      <c r="I29" s="38"/>
      <c r="J29" s="70"/>
      <c r="K29" s="88"/>
    </row>
    <row r="30" spans="2:16" ht="15.75" customHeight="1" x14ac:dyDescent="0.3">
      <c r="B30" s="14">
        <f t="shared" si="2"/>
        <v>0</v>
      </c>
      <c r="C30" s="115"/>
      <c r="D30" s="53">
        <v>65</v>
      </c>
      <c r="E30" s="37"/>
      <c r="F30" s="38"/>
      <c r="G30" s="38"/>
      <c r="H30" s="38"/>
      <c r="I30" s="38"/>
      <c r="J30" s="70"/>
      <c r="K30" s="88"/>
    </row>
    <row r="31" spans="2:16" ht="15.75" customHeight="1" x14ac:dyDescent="0.3">
      <c r="B31" s="14">
        <f t="shared" si="2"/>
        <v>0</v>
      </c>
      <c r="C31" s="115"/>
      <c r="D31" s="53">
        <v>80</v>
      </c>
      <c r="E31" s="37"/>
      <c r="F31" s="38"/>
      <c r="G31" s="38"/>
      <c r="H31" s="38"/>
      <c r="I31" s="38"/>
      <c r="J31" s="70"/>
      <c r="K31" s="88"/>
    </row>
    <row r="32" spans="2:16" ht="15.75" customHeight="1" x14ac:dyDescent="0.3">
      <c r="B32" s="14">
        <f t="shared" si="2"/>
        <v>0</v>
      </c>
      <c r="C32" s="115"/>
      <c r="D32" s="53">
        <v>100</v>
      </c>
      <c r="E32" s="37"/>
      <c r="F32" s="38"/>
      <c r="G32" s="38"/>
      <c r="H32" s="38"/>
      <c r="I32" s="38"/>
      <c r="J32" s="70"/>
      <c r="K32" s="88"/>
    </row>
    <row r="33" spans="2:11" ht="15.75" customHeight="1" x14ac:dyDescent="0.3">
      <c r="B33" s="14">
        <f t="shared" si="2"/>
        <v>0</v>
      </c>
      <c r="C33" s="115"/>
      <c r="D33" s="53">
        <v>125</v>
      </c>
      <c r="E33" s="37"/>
      <c r="F33" s="38"/>
      <c r="G33" s="38"/>
      <c r="H33" s="38"/>
      <c r="I33" s="38"/>
      <c r="J33" s="70"/>
      <c r="K33" s="88"/>
    </row>
    <row r="34" spans="2:11" ht="15.75" customHeight="1" thickBot="1" x14ac:dyDescent="0.35">
      <c r="B34" s="28">
        <f t="shared" si="2"/>
        <v>0</v>
      </c>
      <c r="C34" s="120"/>
      <c r="D34" s="34">
        <v>150</v>
      </c>
      <c r="E34" s="35"/>
      <c r="F34" s="36"/>
      <c r="G34" s="36"/>
      <c r="H34" s="36"/>
      <c r="I34" s="36"/>
      <c r="J34" s="71"/>
      <c r="K34" s="89"/>
    </row>
    <row r="35" spans="2:11" ht="15.75" customHeight="1" thickTop="1" x14ac:dyDescent="0.3">
      <c r="B35" s="17">
        <f t="shared" si="1"/>
        <v>0</v>
      </c>
      <c r="C35" s="119" t="s">
        <v>42</v>
      </c>
      <c r="D35" s="18">
        <v>25</v>
      </c>
      <c r="E35" s="32"/>
      <c r="F35" s="33"/>
      <c r="G35" s="33"/>
      <c r="H35" s="33"/>
      <c r="I35" s="33"/>
      <c r="J35" s="69"/>
      <c r="K35" s="87"/>
    </row>
    <row r="36" spans="2:11" ht="15.75" customHeight="1" x14ac:dyDescent="0.3">
      <c r="B36" s="11">
        <f t="shared" si="1"/>
        <v>0</v>
      </c>
      <c r="C36" s="114"/>
      <c r="D36" s="21">
        <v>32</v>
      </c>
      <c r="E36" s="37"/>
      <c r="F36" s="38"/>
      <c r="G36" s="38"/>
      <c r="H36" s="38"/>
      <c r="I36" s="38"/>
      <c r="J36" s="70"/>
      <c r="K36" s="88"/>
    </row>
    <row r="37" spans="2:11" ht="15.75" customHeight="1" x14ac:dyDescent="0.3">
      <c r="B37" s="11">
        <f t="shared" si="1"/>
        <v>0</v>
      </c>
      <c r="C37" s="114"/>
      <c r="D37" s="21">
        <v>40</v>
      </c>
      <c r="E37" s="37"/>
      <c r="F37" s="38"/>
      <c r="G37" s="38"/>
      <c r="H37" s="38"/>
      <c r="I37" s="38"/>
      <c r="J37" s="70"/>
      <c r="K37" s="88"/>
    </row>
    <row r="38" spans="2:11" ht="15.75" customHeight="1" x14ac:dyDescent="0.3">
      <c r="B38" s="14">
        <f t="shared" si="1"/>
        <v>0</v>
      </c>
      <c r="C38" s="115"/>
      <c r="D38" s="39">
        <v>50</v>
      </c>
      <c r="E38" s="37"/>
      <c r="F38" s="38"/>
      <c r="G38" s="38"/>
      <c r="H38" s="38"/>
      <c r="I38" s="38"/>
      <c r="J38" s="70"/>
      <c r="K38" s="88"/>
    </row>
    <row r="39" spans="2:11" ht="15.75" customHeight="1" x14ac:dyDescent="0.3">
      <c r="B39" s="14">
        <f t="shared" si="1"/>
        <v>0</v>
      </c>
      <c r="C39" s="115"/>
      <c r="D39" s="39">
        <v>65</v>
      </c>
      <c r="E39" s="37"/>
      <c r="F39" s="38"/>
      <c r="G39" s="38"/>
      <c r="H39" s="38"/>
      <c r="I39" s="38"/>
      <c r="J39" s="70"/>
      <c r="K39" s="88"/>
    </row>
    <row r="40" spans="2:11" ht="15.75" customHeight="1" x14ac:dyDescent="0.3">
      <c r="B40" s="14">
        <f t="shared" si="1"/>
        <v>0</v>
      </c>
      <c r="C40" s="115"/>
      <c r="D40" s="39">
        <v>80</v>
      </c>
      <c r="E40" s="37"/>
      <c r="F40" s="38"/>
      <c r="G40" s="38"/>
      <c r="H40" s="38"/>
      <c r="I40" s="38"/>
      <c r="J40" s="70"/>
      <c r="K40" s="88"/>
    </row>
    <row r="41" spans="2:11" ht="15.75" customHeight="1" x14ac:dyDescent="0.3">
      <c r="B41" s="14">
        <f t="shared" si="1"/>
        <v>0</v>
      </c>
      <c r="C41" s="115"/>
      <c r="D41" s="39">
        <v>100</v>
      </c>
      <c r="E41" s="37"/>
      <c r="F41" s="38"/>
      <c r="G41" s="38"/>
      <c r="H41" s="38"/>
      <c r="I41" s="38"/>
      <c r="J41" s="70"/>
      <c r="K41" s="88"/>
    </row>
    <row r="42" spans="2:11" ht="15.75" customHeight="1" x14ac:dyDescent="0.3">
      <c r="B42" s="14">
        <f t="shared" si="1"/>
        <v>0</v>
      </c>
      <c r="C42" s="115"/>
      <c r="D42" s="39">
        <v>125</v>
      </c>
      <c r="E42" s="37"/>
      <c r="F42" s="38"/>
      <c r="G42" s="38"/>
      <c r="H42" s="38"/>
      <c r="I42" s="38"/>
      <c r="J42" s="70"/>
      <c r="K42" s="88"/>
    </row>
    <row r="43" spans="2:11" ht="15.75" customHeight="1" thickBot="1" x14ac:dyDescent="0.35">
      <c r="B43" s="28">
        <f t="shared" si="1"/>
        <v>0</v>
      </c>
      <c r="C43" s="120"/>
      <c r="D43" s="34">
        <v>150</v>
      </c>
      <c r="E43" s="35"/>
      <c r="F43" s="36"/>
      <c r="G43" s="36"/>
      <c r="H43" s="36"/>
      <c r="I43" s="36"/>
      <c r="J43" s="71"/>
      <c r="K43" s="89"/>
    </row>
    <row r="44" spans="2:11" ht="15.75" customHeight="1" thickTop="1" x14ac:dyDescent="0.3">
      <c r="B44" s="17">
        <f t="shared" si="1"/>
        <v>0</v>
      </c>
      <c r="C44" s="119" t="s">
        <v>41</v>
      </c>
      <c r="D44" s="18">
        <v>25</v>
      </c>
      <c r="E44" s="19"/>
      <c r="F44" s="20"/>
      <c r="G44" s="20"/>
      <c r="H44" s="20"/>
      <c r="I44" s="20"/>
      <c r="J44" s="66"/>
      <c r="K44" s="79"/>
    </row>
    <row r="45" spans="2:11" ht="15.75" customHeight="1" x14ac:dyDescent="0.3">
      <c r="B45" s="11">
        <f t="shared" si="1"/>
        <v>0</v>
      </c>
      <c r="C45" s="114"/>
      <c r="D45" s="52">
        <v>32</v>
      </c>
      <c r="E45" s="12"/>
      <c r="F45" s="13"/>
      <c r="G45" s="13"/>
      <c r="H45" s="13"/>
      <c r="I45" s="13"/>
      <c r="J45" s="64"/>
      <c r="K45" s="83"/>
    </row>
    <row r="46" spans="2:11" ht="15.75" customHeight="1" x14ac:dyDescent="0.3">
      <c r="B46" s="11">
        <f t="shared" si="1"/>
        <v>0</v>
      </c>
      <c r="C46" s="114"/>
      <c r="D46" s="52">
        <v>40</v>
      </c>
      <c r="E46" s="12"/>
      <c r="F46" s="13"/>
      <c r="G46" s="13"/>
      <c r="H46" s="13"/>
      <c r="I46" s="13"/>
      <c r="J46" s="64"/>
      <c r="K46" s="83"/>
    </row>
    <row r="47" spans="2:11" ht="15.75" customHeight="1" x14ac:dyDescent="0.3">
      <c r="B47" s="11">
        <f t="shared" si="1"/>
        <v>0</v>
      </c>
      <c r="C47" s="115"/>
      <c r="D47" s="53">
        <v>50</v>
      </c>
      <c r="E47" s="12"/>
      <c r="F47" s="13"/>
      <c r="G47" s="13"/>
      <c r="H47" s="13"/>
      <c r="I47" s="13"/>
      <c r="J47" s="64"/>
      <c r="K47" s="83"/>
    </row>
    <row r="48" spans="2:11" ht="15.75" customHeight="1" x14ac:dyDescent="0.3">
      <c r="B48" s="11">
        <f t="shared" si="1"/>
        <v>0</v>
      </c>
      <c r="C48" s="115"/>
      <c r="D48" s="53">
        <v>65</v>
      </c>
      <c r="E48" s="12"/>
      <c r="F48" s="13"/>
      <c r="G48" s="13"/>
      <c r="H48" s="13"/>
      <c r="I48" s="13"/>
      <c r="J48" s="64"/>
      <c r="K48" s="83"/>
    </row>
    <row r="49" spans="2:11" ht="15.75" customHeight="1" x14ac:dyDescent="0.3">
      <c r="B49" s="11">
        <f t="shared" si="1"/>
        <v>0</v>
      </c>
      <c r="C49" s="115"/>
      <c r="D49" s="53">
        <v>80</v>
      </c>
      <c r="E49" s="12"/>
      <c r="F49" s="13"/>
      <c r="G49" s="13"/>
      <c r="H49" s="13"/>
      <c r="I49" s="13"/>
      <c r="J49" s="64"/>
      <c r="K49" s="83"/>
    </row>
    <row r="50" spans="2:11" ht="15.75" customHeight="1" x14ac:dyDescent="0.3">
      <c r="B50" s="11">
        <f t="shared" si="1"/>
        <v>0</v>
      </c>
      <c r="C50" s="115"/>
      <c r="D50" s="53">
        <v>100</v>
      </c>
      <c r="E50" s="12"/>
      <c r="F50" s="13"/>
      <c r="G50" s="13"/>
      <c r="H50" s="13"/>
      <c r="I50" s="13"/>
      <c r="J50" s="64"/>
      <c r="K50" s="83"/>
    </row>
    <row r="51" spans="2:11" ht="15.75" customHeight="1" x14ac:dyDescent="0.3">
      <c r="B51" s="11">
        <f t="shared" si="1"/>
        <v>0</v>
      </c>
      <c r="C51" s="115"/>
      <c r="D51" s="53">
        <v>125</v>
      </c>
      <c r="E51" s="12"/>
      <c r="F51" s="13"/>
      <c r="G51" s="13"/>
      <c r="H51" s="13"/>
      <c r="I51" s="13"/>
      <c r="J51" s="64"/>
      <c r="K51" s="83"/>
    </row>
    <row r="52" spans="2:11" ht="15.75" customHeight="1" thickBot="1" x14ac:dyDescent="0.35">
      <c r="B52" s="28">
        <f t="shared" si="1"/>
        <v>0</v>
      </c>
      <c r="C52" s="120"/>
      <c r="D52" s="34">
        <v>150</v>
      </c>
      <c r="E52" s="30"/>
      <c r="F52" s="31"/>
      <c r="G52" s="31"/>
      <c r="H52" s="31"/>
      <c r="I52" s="31"/>
      <c r="J52" s="68"/>
      <c r="K52" s="86"/>
    </row>
    <row r="53" spans="2:11" ht="15.75" customHeight="1" thickTop="1" x14ac:dyDescent="0.3">
      <c r="B53" s="40">
        <f t="shared" si="1"/>
        <v>0</v>
      </c>
      <c r="C53" s="129" t="s">
        <v>72</v>
      </c>
      <c r="D53" s="50" t="s">
        <v>31</v>
      </c>
      <c r="E53" s="41"/>
      <c r="F53" s="42"/>
      <c r="G53" s="42"/>
      <c r="H53" s="42"/>
      <c r="I53" s="42"/>
      <c r="J53" s="72"/>
      <c r="K53" s="90"/>
    </row>
    <row r="54" spans="2:11" ht="15.75" customHeight="1" x14ac:dyDescent="0.3">
      <c r="B54" s="11">
        <f t="shared" si="1"/>
        <v>0</v>
      </c>
      <c r="C54" s="114"/>
      <c r="D54" s="21" t="s">
        <v>32</v>
      </c>
      <c r="E54" s="12"/>
      <c r="F54" s="13"/>
      <c r="G54" s="13"/>
      <c r="H54" s="13"/>
      <c r="I54" s="13"/>
      <c r="J54" s="64"/>
      <c r="K54" s="83"/>
    </row>
    <row r="55" spans="2:11" ht="15.75" customHeight="1" x14ac:dyDescent="0.3">
      <c r="B55" s="11">
        <f t="shared" si="1"/>
        <v>0</v>
      </c>
      <c r="C55" s="114"/>
      <c r="D55" s="52" t="s">
        <v>89</v>
      </c>
      <c r="E55" s="12"/>
      <c r="F55" s="13"/>
      <c r="G55" s="13"/>
      <c r="H55" s="13"/>
      <c r="I55" s="13"/>
      <c r="J55" s="64"/>
      <c r="K55" s="83"/>
    </row>
    <row r="56" spans="2:11" ht="15.75" customHeight="1" x14ac:dyDescent="0.3">
      <c r="B56" s="11">
        <f t="shared" si="1"/>
        <v>0</v>
      </c>
      <c r="C56" s="114"/>
      <c r="D56" s="21" t="s">
        <v>33</v>
      </c>
      <c r="E56" s="12"/>
      <c r="F56" s="13"/>
      <c r="G56" s="13"/>
      <c r="H56" s="13"/>
      <c r="I56" s="13"/>
      <c r="J56" s="64"/>
      <c r="K56" s="83"/>
    </row>
    <row r="57" spans="2:11" ht="15.75" customHeight="1" x14ac:dyDescent="0.3">
      <c r="B57" s="11">
        <f t="shared" si="1"/>
        <v>0</v>
      </c>
      <c r="C57" s="115"/>
      <c r="D57" s="39" t="s">
        <v>34</v>
      </c>
      <c r="E57" s="12"/>
      <c r="F57" s="13"/>
      <c r="G57" s="13"/>
      <c r="H57" s="13"/>
      <c r="I57" s="13"/>
      <c r="J57" s="64"/>
      <c r="K57" s="83"/>
    </row>
    <row r="58" spans="2:11" ht="15.75" customHeight="1" x14ac:dyDescent="0.3">
      <c r="B58" s="11">
        <f t="shared" si="1"/>
        <v>0</v>
      </c>
      <c r="C58" s="115"/>
      <c r="D58" s="39" t="s">
        <v>35</v>
      </c>
      <c r="E58" s="12"/>
      <c r="F58" s="13"/>
      <c r="G58" s="13"/>
      <c r="H58" s="13"/>
      <c r="I58" s="13"/>
      <c r="J58" s="64"/>
      <c r="K58" s="83"/>
    </row>
    <row r="59" spans="2:11" ht="15.75" customHeight="1" x14ac:dyDescent="0.3">
      <c r="B59" s="11">
        <f t="shared" si="1"/>
        <v>0</v>
      </c>
      <c r="C59" s="115"/>
      <c r="D59" s="39" t="s">
        <v>36</v>
      </c>
      <c r="E59" s="12"/>
      <c r="F59" s="13"/>
      <c r="G59" s="13"/>
      <c r="H59" s="13"/>
      <c r="I59" s="13"/>
      <c r="J59" s="64"/>
      <c r="K59" s="83"/>
    </row>
    <row r="60" spans="2:11" ht="15.75" customHeight="1" x14ac:dyDescent="0.3">
      <c r="B60" s="11">
        <f t="shared" si="1"/>
        <v>0</v>
      </c>
      <c r="C60" s="115"/>
      <c r="D60" s="39" t="s">
        <v>37</v>
      </c>
      <c r="E60" s="12"/>
      <c r="F60" s="13"/>
      <c r="G60" s="13"/>
      <c r="H60" s="13"/>
      <c r="I60" s="13"/>
      <c r="J60" s="64"/>
      <c r="K60" s="83"/>
    </row>
    <row r="61" spans="2:11" ht="15.75" customHeight="1" x14ac:dyDescent="0.3">
      <c r="B61" s="11">
        <f t="shared" si="1"/>
        <v>0</v>
      </c>
      <c r="C61" s="115"/>
      <c r="D61" s="39" t="s">
        <v>38</v>
      </c>
      <c r="E61" s="12"/>
      <c r="F61" s="13"/>
      <c r="G61" s="13"/>
      <c r="H61" s="13"/>
      <c r="I61" s="13"/>
      <c r="J61" s="64"/>
      <c r="K61" s="83"/>
    </row>
    <row r="62" spans="2:11" ht="15.75" customHeight="1" thickBot="1" x14ac:dyDescent="0.35">
      <c r="B62" s="22">
        <f t="shared" si="1"/>
        <v>0</v>
      </c>
      <c r="C62" s="116"/>
      <c r="D62" s="23" t="s">
        <v>39</v>
      </c>
      <c r="E62" s="24"/>
      <c r="F62" s="25"/>
      <c r="G62" s="25"/>
      <c r="H62" s="25"/>
      <c r="I62" s="25"/>
      <c r="J62" s="67"/>
      <c r="K62" s="85"/>
    </row>
    <row r="63" spans="2:11" ht="15.75" customHeight="1" thickTop="1" x14ac:dyDescent="0.3">
      <c r="B63" s="11">
        <f t="shared" si="1"/>
        <v>0</v>
      </c>
      <c r="C63" s="113" t="s">
        <v>73</v>
      </c>
      <c r="D63" s="18" t="s">
        <v>31</v>
      </c>
      <c r="E63" s="19"/>
      <c r="F63" s="20"/>
      <c r="G63" s="20"/>
      <c r="H63" s="20"/>
      <c r="I63" s="20"/>
      <c r="J63" s="66"/>
      <c r="K63" s="79"/>
    </row>
    <row r="64" spans="2:11" ht="15.75" customHeight="1" x14ac:dyDescent="0.3">
      <c r="B64" s="11">
        <f t="shared" si="1"/>
        <v>0</v>
      </c>
      <c r="C64" s="114"/>
      <c r="D64" s="21" t="s">
        <v>32</v>
      </c>
      <c r="E64" s="12"/>
      <c r="F64" s="13"/>
      <c r="G64" s="13"/>
      <c r="H64" s="13"/>
      <c r="I64" s="13"/>
      <c r="J64" s="64"/>
      <c r="K64" s="83"/>
    </row>
    <row r="65" spans="2:11" ht="15.75" customHeight="1" x14ac:dyDescent="0.3">
      <c r="B65" s="11">
        <f t="shared" si="1"/>
        <v>0</v>
      </c>
      <c r="C65" s="114"/>
      <c r="D65" s="52" t="s">
        <v>89</v>
      </c>
      <c r="E65" s="12"/>
      <c r="F65" s="13"/>
      <c r="G65" s="13"/>
      <c r="H65" s="13"/>
      <c r="I65" s="13"/>
      <c r="J65" s="64"/>
      <c r="K65" s="83"/>
    </row>
    <row r="66" spans="2:11" ht="15.75" customHeight="1" x14ac:dyDescent="0.3">
      <c r="B66" s="11">
        <f t="shared" si="1"/>
        <v>0</v>
      </c>
      <c r="C66" s="114"/>
      <c r="D66" s="21" t="s">
        <v>33</v>
      </c>
      <c r="E66" s="12"/>
      <c r="F66" s="13"/>
      <c r="G66" s="13"/>
      <c r="H66" s="13"/>
      <c r="I66" s="13"/>
      <c r="J66" s="64"/>
      <c r="K66" s="83"/>
    </row>
    <row r="67" spans="2:11" ht="15.75" customHeight="1" x14ac:dyDescent="0.3">
      <c r="B67" s="11">
        <f t="shared" si="1"/>
        <v>0</v>
      </c>
      <c r="C67" s="115"/>
      <c r="D67" s="39" t="s">
        <v>34</v>
      </c>
      <c r="E67" s="12"/>
      <c r="F67" s="13"/>
      <c r="G67" s="13"/>
      <c r="H67" s="13"/>
      <c r="I67" s="13"/>
      <c r="J67" s="64"/>
      <c r="K67" s="83"/>
    </row>
    <row r="68" spans="2:11" ht="15.75" customHeight="1" x14ac:dyDescent="0.3">
      <c r="B68" s="11">
        <f t="shared" si="1"/>
        <v>0</v>
      </c>
      <c r="C68" s="115"/>
      <c r="D68" s="39" t="s">
        <v>35</v>
      </c>
      <c r="E68" s="12"/>
      <c r="F68" s="13"/>
      <c r="G68" s="13"/>
      <c r="H68" s="13"/>
      <c r="I68" s="13"/>
      <c r="J68" s="64"/>
      <c r="K68" s="83"/>
    </row>
    <row r="69" spans="2:11" ht="15.75" customHeight="1" x14ac:dyDescent="0.3">
      <c r="B69" s="11">
        <f t="shared" si="1"/>
        <v>0</v>
      </c>
      <c r="C69" s="115"/>
      <c r="D69" s="39" t="s">
        <v>36</v>
      </c>
      <c r="E69" s="12"/>
      <c r="F69" s="13"/>
      <c r="G69" s="13"/>
      <c r="H69" s="13"/>
      <c r="I69" s="13"/>
      <c r="J69" s="64"/>
      <c r="K69" s="83"/>
    </row>
    <row r="70" spans="2:11" ht="15.75" customHeight="1" x14ac:dyDescent="0.3">
      <c r="B70" s="11">
        <f t="shared" si="1"/>
        <v>0</v>
      </c>
      <c r="C70" s="115"/>
      <c r="D70" s="39" t="s">
        <v>37</v>
      </c>
      <c r="E70" s="12"/>
      <c r="F70" s="13"/>
      <c r="G70" s="13"/>
      <c r="H70" s="13"/>
      <c r="I70" s="13"/>
      <c r="J70" s="64"/>
      <c r="K70" s="83"/>
    </row>
    <row r="71" spans="2:11" ht="15.75" customHeight="1" x14ac:dyDescent="0.3">
      <c r="B71" s="11">
        <f t="shared" si="1"/>
        <v>0</v>
      </c>
      <c r="C71" s="115"/>
      <c r="D71" s="39" t="s">
        <v>38</v>
      </c>
      <c r="E71" s="12"/>
      <c r="F71" s="13"/>
      <c r="G71" s="13"/>
      <c r="H71" s="13"/>
      <c r="I71" s="13"/>
      <c r="J71" s="64"/>
      <c r="K71" s="83"/>
    </row>
    <row r="72" spans="2:11" ht="15.75" customHeight="1" thickBot="1" x14ac:dyDescent="0.35">
      <c r="B72" s="22">
        <f t="shared" si="1"/>
        <v>0</v>
      </c>
      <c r="C72" s="116"/>
      <c r="D72" s="23" t="s">
        <v>39</v>
      </c>
      <c r="E72" s="24"/>
      <c r="F72" s="25"/>
      <c r="G72" s="25"/>
      <c r="H72" s="25"/>
      <c r="I72" s="25"/>
      <c r="J72" s="67"/>
      <c r="K72" s="85"/>
    </row>
    <row r="73" spans="2:11" ht="15.95" customHeight="1" thickTop="1" x14ac:dyDescent="0.3">
      <c r="B73" s="17">
        <f t="shared" si="1"/>
        <v>0</v>
      </c>
      <c r="C73" s="119" t="s">
        <v>55</v>
      </c>
      <c r="D73" s="48" t="s">
        <v>56</v>
      </c>
      <c r="E73" s="19"/>
      <c r="F73" s="20"/>
      <c r="G73" s="20"/>
      <c r="H73" s="20"/>
      <c r="I73" s="20"/>
      <c r="J73" s="73"/>
      <c r="K73" s="91"/>
    </row>
    <row r="74" spans="2:11" ht="15.95" customHeight="1" x14ac:dyDescent="0.3">
      <c r="B74" s="11">
        <f t="shared" si="1"/>
        <v>0</v>
      </c>
      <c r="C74" s="114"/>
      <c r="D74" s="49" t="s">
        <v>61</v>
      </c>
      <c r="E74" s="12"/>
      <c r="F74" s="13"/>
      <c r="G74" s="13"/>
      <c r="H74" s="13"/>
      <c r="I74" s="13"/>
      <c r="J74" s="74"/>
      <c r="K74" s="80"/>
    </row>
    <row r="75" spans="2:11" ht="15.95" customHeight="1" x14ac:dyDescent="0.3">
      <c r="B75" s="11">
        <f t="shared" si="1"/>
        <v>0</v>
      </c>
      <c r="C75" s="114"/>
      <c r="D75" s="49" t="s">
        <v>57</v>
      </c>
      <c r="E75" s="12"/>
      <c r="F75" s="13"/>
      <c r="G75" s="13"/>
      <c r="H75" s="13"/>
      <c r="I75" s="13"/>
      <c r="J75" s="64"/>
      <c r="K75" s="83"/>
    </row>
    <row r="76" spans="2:11" ht="15.95" customHeight="1" x14ac:dyDescent="0.3">
      <c r="B76" s="11">
        <f t="shared" si="1"/>
        <v>0</v>
      </c>
      <c r="C76" s="114"/>
      <c r="D76" s="49" t="s">
        <v>46</v>
      </c>
      <c r="E76" s="12"/>
      <c r="F76" s="13"/>
      <c r="G76" s="13"/>
      <c r="H76" s="13"/>
      <c r="I76" s="13"/>
      <c r="J76" s="64"/>
      <c r="K76" s="83"/>
    </row>
    <row r="77" spans="2:11" ht="15.95" customHeight="1" x14ac:dyDescent="0.3">
      <c r="B77" s="11">
        <f t="shared" si="1"/>
        <v>0</v>
      </c>
      <c r="C77" s="114"/>
      <c r="D77" s="49" t="s">
        <v>58</v>
      </c>
      <c r="E77" s="12"/>
      <c r="F77" s="13"/>
      <c r="G77" s="13"/>
      <c r="H77" s="13"/>
      <c r="I77" s="13"/>
      <c r="J77" s="64"/>
      <c r="K77" s="83"/>
    </row>
    <row r="78" spans="2:11" ht="15.95" customHeight="1" x14ac:dyDescent="0.3">
      <c r="B78" s="14">
        <f t="shared" si="1"/>
        <v>0</v>
      </c>
      <c r="C78" s="115"/>
      <c r="D78" s="62" t="s">
        <v>62</v>
      </c>
      <c r="E78" s="15"/>
      <c r="F78" s="16"/>
      <c r="G78" s="16"/>
      <c r="H78" s="16"/>
      <c r="I78" s="16"/>
      <c r="J78" s="65"/>
      <c r="K78" s="84"/>
    </row>
    <row r="79" spans="2:11" ht="15.95" customHeight="1" x14ac:dyDescent="0.3">
      <c r="B79" s="14">
        <f t="shared" si="1"/>
        <v>0</v>
      </c>
      <c r="C79" s="115"/>
      <c r="D79" s="62" t="s">
        <v>59</v>
      </c>
      <c r="E79" s="15"/>
      <c r="F79" s="16"/>
      <c r="G79" s="16"/>
      <c r="H79" s="16"/>
      <c r="I79" s="16"/>
      <c r="J79" s="65"/>
      <c r="K79" s="84"/>
    </row>
    <row r="80" spans="2:11" ht="15.95" customHeight="1" x14ac:dyDescent="0.3">
      <c r="B80" s="14">
        <f t="shared" si="1"/>
        <v>0</v>
      </c>
      <c r="C80" s="115"/>
      <c r="D80" s="62" t="s">
        <v>60</v>
      </c>
      <c r="E80" s="15"/>
      <c r="F80" s="16"/>
      <c r="G80" s="16"/>
      <c r="H80" s="16"/>
      <c r="I80" s="16"/>
      <c r="J80" s="65"/>
      <c r="K80" s="84"/>
    </row>
    <row r="81" spans="2:11" ht="15.95" customHeight="1" x14ac:dyDescent="0.3">
      <c r="B81" s="14">
        <f t="shared" si="1"/>
        <v>0</v>
      </c>
      <c r="C81" s="115"/>
      <c r="D81" s="62" t="s">
        <v>48</v>
      </c>
      <c r="E81" s="15"/>
      <c r="F81" s="16"/>
      <c r="G81" s="16"/>
      <c r="H81" s="16"/>
      <c r="I81" s="16"/>
      <c r="J81" s="65"/>
      <c r="K81" s="84"/>
    </row>
    <row r="82" spans="2:11" ht="15.95" customHeight="1" thickBot="1" x14ac:dyDescent="0.35">
      <c r="B82" s="28">
        <f t="shared" si="1"/>
        <v>0</v>
      </c>
      <c r="C82" s="120"/>
      <c r="D82" s="29" t="s">
        <v>48</v>
      </c>
      <c r="E82" s="30"/>
      <c r="F82" s="31"/>
      <c r="G82" s="31"/>
      <c r="H82" s="31"/>
      <c r="I82" s="31"/>
      <c r="J82" s="68"/>
      <c r="K82" s="92"/>
    </row>
    <row r="83" spans="2:11" s="7" customFormat="1" ht="15.75" customHeight="1" thickTop="1" thickBot="1" x14ac:dyDescent="0.35">
      <c r="B83" s="43"/>
      <c r="C83" s="44"/>
      <c r="D83" s="45"/>
      <c r="E83" s="46"/>
      <c r="F83" s="46"/>
      <c r="G83" s="46"/>
      <c r="H83" s="46"/>
      <c r="I83" s="46"/>
      <c r="J83" s="46"/>
      <c r="K83" s="46"/>
    </row>
    <row r="84" spans="2:11" s="7" customFormat="1" ht="15.75" customHeight="1" thickBot="1" x14ac:dyDescent="0.35">
      <c r="B84" s="51" t="s">
        <v>43</v>
      </c>
      <c r="C84" s="117" t="s">
        <v>45</v>
      </c>
      <c r="D84" s="118"/>
      <c r="E84" s="46"/>
      <c r="F84" s="46"/>
      <c r="G84" s="46"/>
      <c r="H84" s="46"/>
      <c r="I84" s="46"/>
      <c r="J84" s="46"/>
      <c r="K84" s="54"/>
    </row>
    <row r="85" spans="2:11" ht="15.95" customHeight="1" thickTop="1" x14ac:dyDescent="0.3">
      <c r="B85" s="17">
        <f t="shared" ref="B85:B121" si="3">SUM(E85:J85)</f>
        <v>0</v>
      </c>
      <c r="C85" s="119" t="s">
        <v>68</v>
      </c>
      <c r="D85" s="18">
        <v>25</v>
      </c>
      <c r="E85" s="19"/>
      <c r="F85" s="20"/>
      <c r="G85" s="20"/>
      <c r="H85" s="20"/>
      <c r="I85" s="20"/>
      <c r="J85" s="66"/>
      <c r="K85" s="82"/>
    </row>
    <row r="86" spans="2:11" ht="15.95" customHeight="1" x14ac:dyDescent="0.3">
      <c r="B86" s="11">
        <f t="shared" si="3"/>
        <v>0</v>
      </c>
      <c r="C86" s="114"/>
      <c r="D86" s="21">
        <v>32</v>
      </c>
      <c r="E86" s="12"/>
      <c r="F86" s="13"/>
      <c r="G86" s="13"/>
      <c r="H86" s="13"/>
      <c r="I86" s="13"/>
      <c r="J86" s="64"/>
      <c r="K86" s="83"/>
    </row>
    <row r="87" spans="2:11" ht="15.95" customHeight="1" x14ac:dyDescent="0.3">
      <c r="B87" s="11">
        <f t="shared" si="3"/>
        <v>0</v>
      </c>
      <c r="C87" s="114"/>
      <c r="D87" s="21">
        <v>40</v>
      </c>
      <c r="E87" s="12"/>
      <c r="F87" s="13"/>
      <c r="G87" s="13"/>
      <c r="H87" s="13"/>
      <c r="I87" s="13"/>
      <c r="J87" s="64"/>
      <c r="K87" s="83"/>
    </row>
    <row r="88" spans="2:11" ht="15.95" customHeight="1" thickBot="1" x14ac:dyDescent="0.35">
      <c r="B88" s="28">
        <f t="shared" si="3"/>
        <v>0</v>
      </c>
      <c r="C88" s="120"/>
      <c r="D88" s="34">
        <v>50</v>
      </c>
      <c r="E88" s="30"/>
      <c r="F88" s="31"/>
      <c r="G88" s="31"/>
      <c r="H88" s="31"/>
      <c r="I88" s="31"/>
      <c r="J88" s="68"/>
      <c r="K88" s="86"/>
    </row>
    <row r="89" spans="2:11" ht="15.95" customHeight="1" thickTop="1" x14ac:dyDescent="0.3">
      <c r="B89" s="17">
        <f t="shared" ref="B89:B92" si="4">SUM(E89:J89)</f>
        <v>0</v>
      </c>
      <c r="C89" s="113" t="s">
        <v>91</v>
      </c>
      <c r="D89" s="18">
        <v>25</v>
      </c>
      <c r="E89" s="19"/>
      <c r="F89" s="20"/>
      <c r="G89" s="20"/>
      <c r="H89" s="20"/>
      <c r="I89" s="20"/>
      <c r="J89" s="66"/>
      <c r="K89" s="82"/>
    </row>
    <row r="90" spans="2:11" ht="15.95" customHeight="1" x14ac:dyDescent="0.3">
      <c r="B90" s="11">
        <f t="shared" si="4"/>
        <v>0</v>
      </c>
      <c r="C90" s="114"/>
      <c r="D90" s="52">
        <v>32</v>
      </c>
      <c r="E90" s="12"/>
      <c r="F90" s="13"/>
      <c r="G90" s="13"/>
      <c r="H90" s="13"/>
      <c r="I90" s="13"/>
      <c r="J90" s="64"/>
      <c r="K90" s="83"/>
    </row>
    <row r="91" spans="2:11" ht="15.95" customHeight="1" x14ac:dyDescent="0.3">
      <c r="B91" s="11">
        <f t="shared" si="4"/>
        <v>0</v>
      </c>
      <c r="C91" s="114"/>
      <c r="D91" s="52">
        <v>40</v>
      </c>
      <c r="E91" s="12"/>
      <c r="F91" s="13"/>
      <c r="G91" s="13"/>
      <c r="H91" s="13"/>
      <c r="I91" s="13"/>
      <c r="J91" s="64"/>
      <c r="K91" s="83"/>
    </row>
    <row r="92" spans="2:11" ht="15.95" customHeight="1" thickBot="1" x14ac:dyDescent="0.35">
      <c r="B92" s="28">
        <f t="shared" si="4"/>
        <v>0</v>
      </c>
      <c r="C92" s="120"/>
      <c r="D92" s="34">
        <v>50</v>
      </c>
      <c r="E92" s="30"/>
      <c r="F92" s="31"/>
      <c r="G92" s="31"/>
      <c r="H92" s="31"/>
      <c r="I92" s="31"/>
      <c r="J92" s="68"/>
      <c r="K92" s="86"/>
    </row>
    <row r="93" spans="2:11" ht="15.95" customHeight="1" thickTop="1" x14ac:dyDescent="0.3">
      <c r="B93" s="17">
        <f t="shared" si="3"/>
        <v>0</v>
      </c>
      <c r="C93" s="121" t="s">
        <v>69</v>
      </c>
      <c r="D93" s="18" t="s">
        <v>5</v>
      </c>
      <c r="E93" s="55"/>
      <c r="F93" s="56"/>
      <c r="G93" s="56"/>
      <c r="H93" s="56"/>
      <c r="I93" s="56"/>
      <c r="J93" s="75"/>
      <c r="K93" s="79"/>
    </row>
    <row r="94" spans="2:11" ht="15.95" customHeight="1" x14ac:dyDescent="0.3">
      <c r="B94" s="11">
        <f t="shared" si="3"/>
        <v>0</v>
      </c>
      <c r="C94" s="122"/>
      <c r="D94" s="21" t="s">
        <v>6</v>
      </c>
      <c r="E94" s="12"/>
      <c r="F94" s="13"/>
      <c r="G94" s="13"/>
      <c r="H94" s="13"/>
      <c r="I94" s="13"/>
      <c r="J94" s="64"/>
      <c r="K94" s="83"/>
    </row>
    <row r="95" spans="2:11" ht="15.95" customHeight="1" x14ac:dyDescent="0.3">
      <c r="B95" s="11">
        <f t="shared" si="3"/>
        <v>0</v>
      </c>
      <c r="C95" s="122"/>
      <c r="D95" s="21" t="s">
        <v>7</v>
      </c>
      <c r="E95" s="57"/>
      <c r="F95" s="58"/>
      <c r="G95" s="58"/>
      <c r="H95" s="59"/>
      <c r="I95" s="59"/>
      <c r="J95" s="76"/>
      <c r="K95" s="80"/>
    </row>
    <row r="96" spans="2:11" ht="15.95" customHeight="1" x14ac:dyDescent="0.3">
      <c r="B96" s="11">
        <f t="shared" si="3"/>
        <v>0</v>
      </c>
      <c r="C96" s="122"/>
      <c r="D96" s="21" t="s">
        <v>8</v>
      </c>
      <c r="E96" s="12"/>
      <c r="F96" s="13"/>
      <c r="G96" s="13"/>
      <c r="H96" s="13"/>
      <c r="I96" s="13"/>
      <c r="J96" s="64"/>
      <c r="K96" s="83"/>
    </row>
    <row r="97" spans="2:11" ht="15.95" customHeight="1" x14ac:dyDescent="0.3">
      <c r="B97" s="11">
        <f t="shared" si="3"/>
        <v>0</v>
      </c>
      <c r="C97" s="122"/>
      <c r="D97" s="21" t="s">
        <v>9</v>
      </c>
      <c r="E97" s="12"/>
      <c r="F97" s="13"/>
      <c r="G97" s="13"/>
      <c r="H97" s="13"/>
      <c r="I97" s="13"/>
      <c r="J97" s="64"/>
      <c r="K97" s="83"/>
    </row>
    <row r="98" spans="2:11" ht="15.95" customHeight="1" x14ac:dyDescent="0.3">
      <c r="B98" s="11">
        <f t="shared" si="3"/>
        <v>0</v>
      </c>
      <c r="C98" s="122"/>
      <c r="D98" s="21" t="s">
        <v>10</v>
      </c>
      <c r="E98" s="57"/>
      <c r="F98" s="58"/>
      <c r="G98" s="58"/>
      <c r="H98" s="58"/>
      <c r="I98" s="58"/>
      <c r="J98" s="76"/>
      <c r="K98" s="80"/>
    </row>
    <row r="99" spans="2:11" ht="15.95" customHeight="1" x14ac:dyDescent="0.3">
      <c r="B99" s="11">
        <f t="shared" si="3"/>
        <v>0</v>
      </c>
      <c r="C99" s="122"/>
      <c r="D99" s="21" t="s">
        <v>11</v>
      </c>
      <c r="E99" s="12"/>
      <c r="F99" s="13"/>
      <c r="G99" s="13"/>
      <c r="H99" s="13"/>
      <c r="I99" s="13"/>
      <c r="J99" s="74"/>
      <c r="K99" s="80"/>
    </row>
    <row r="100" spans="2:11" ht="15.95" customHeight="1" x14ac:dyDescent="0.3">
      <c r="B100" s="11">
        <f t="shared" si="3"/>
        <v>0</v>
      </c>
      <c r="C100" s="122"/>
      <c r="D100" s="21" t="s">
        <v>12</v>
      </c>
      <c r="E100" s="12"/>
      <c r="F100" s="13"/>
      <c r="G100" s="13"/>
      <c r="H100" s="13"/>
      <c r="I100" s="13"/>
      <c r="J100" s="74"/>
      <c r="K100" s="80"/>
    </row>
    <row r="101" spans="2:11" ht="15.95" customHeight="1" thickBot="1" x14ac:dyDescent="0.35">
      <c r="B101" s="28">
        <f t="shared" si="3"/>
        <v>0</v>
      </c>
      <c r="C101" s="123"/>
      <c r="D101" s="34" t="s">
        <v>13</v>
      </c>
      <c r="E101" s="60"/>
      <c r="F101" s="61"/>
      <c r="G101" s="61"/>
      <c r="H101" s="61"/>
      <c r="I101" s="61"/>
      <c r="J101" s="77"/>
      <c r="K101" s="81"/>
    </row>
    <row r="102" spans="2:11" ht="15.95" customHeight="1" thickTop="1" x14ac:dyDescent="0.3">
      <c r="B102" s="17">
        <f t="shared" si="3"/>
        <v>0</v>
      </c>
      <c r="C102" s="119" t="s">
        <v>14</v>
      </c>
      <c r="D102" s="48" t="s">
        <v>78</v>
      </c>
      <c r="E102" s="19"/>
      <c r="F102" s="20"/>
      <c r="G102" s="20"/>
      <c r="H102" s="20"/>
      <c r="I102" s="20"/>
      <c r="J102" s="73"/>
      <c r="K102" s="91"/>
    </row>
    <row r="103" spans="2:11" ht="15.95" customHeight="1" x14ac:dyDescent="0.3">
      <c r="B103" s="40"/>
      <c r="C103" s="173"/>
      <c r="D103" s="174" t="s">
        <v>77</v>
      </c>
      <c r="E103" s="41"/>
      <c r="F103" s="42"/>
      <c r="G103" s="42"/>
      <c r="H103" s="42"/>
      <c r="I103" s="42"/>
      <c r="J103" s="175"/>
      <c r="K103" s="93"/>
    </row>
    <row r="104" spans="2:11" ht="15.95" customHeight="1" x14ac:dyDescent="0.3">
      <c r="B104" s="11">
        <f t="shared" si="3"/>
        <v>0</v>
      </c>
      <c r="C104" s="114"/>
      <c r="D104" s="49" t="s">
        <v>16</v>
      </c>
      <c r="E104" s="12"/>
      <c r="F104" s="13"/>
      <c r="G104" s="13"/>
      <c r="H104" s="13"/>
      <c r="I104" s="13"/>
      <c r="J104" s="74"/>
      <c r="K104" s="80"/>
    </row>
    <row r="105" spans="2:11" ht="15.95" customHeight="1" x14ac:dyDescent="0.3">
      <c r="B105" s="11">
        <f t="shared" si="3"/>
        <v>0</v>
      </c>
      <c r="C105" s="114"/>
      <c r="D105" s="49" t="s">
        <v>17</v>
      </c>
      <c r="E105" s="12"/>
      <c r="F105" s="13"/>
      <c r="G105" s="13"/>
      <c r="H105" s="13"/>
      <c r="I105" s="13"/>
      <c r="J105" s="64"/>
      <c r="K105" s="83"/>
    </row>
    <row r="106" spans="2:11" ht="15.95" customHeight="1" x14ac:dyDescent="0.3">
      <c r="B106" s="11">
        <f t="shared" si="3"/>
        <v>0</v>
      </c>
      <c r="C106" s="114"/>
      <c r="D106" s="49" t="s">
        <v>18</v>
      </c>
      <c r="E106" s="12"/>
      <c r="F106" s="13"/>
      <c r="G106" s="13"/>
      <c r="H106" s="13"/>
      <c r="I106" s="13"/>
      <c r="J106" s="64"/>
      <c r="K106" s="83"/>
    </row>
    <row r="107" spans="2:11" ht="15.95" customHeight="1" x14ac:dyDescent="0.3">
      <c r="B107" s="11">
        <f t="shared" si="3"/>
        <v>0</v>
      </c>
      <c r="C107" s="114"/>
      <c r="D107" s="49" t="s">
        <v>19</v>
      </c>
      <c r="E107" s="12"/>
      <c r="F107" s="13"/>
      <c r="G107" s="13"/>
      <c r="H107" s="13"/>
      <c r="I107" s="13"/>
      <c r="J107" s="64"/>
      <c r="K107" s="83"/>
    </row>
    <row r="108" spans="2:11" ht="15.95" customHeight="1" thickBot="1" x14ac:dyDescent="0.35">
      <c r="B108" s="28">
        <f t="shared" si="3"/>
        <v>0</v>
      </c>
      <c r="C108" s="120"/>
      <c r="D108" s="29" t="s">
        <v>20</v>
      </c>
      <c r="E108" s="30"/>
      <c r="F108" s="31"/>
      <c r="G108" s="31"/>
      <c r="H108" s="31"/>
      <c r="I108" s="31"/>
      <c r="J108" s="68"/>
      <c r="K108" s="81"/>
    </row>
    <row r="109" spans="2:11" ht="15.95" customHeight="1" thickTop="1" x14ac:dyDescent="0.3">
      <c r="B109" s="40">
        <f t="shared" si="3"/>
        <v>0</v>
      </c>
      <c r="C109" s="129" t="s">
        <v>21</v>
      </c>
      <c r="D109" s="50">
        <v>25</v>
      </c>
      <c r="E109" s="41"/>
      <c r="F109" s="42"/>
      <c r="G109" s="42"/>
      <c r="H109" s="42"/>
      <c r="I109" s="42"/>
      <c r="J109" s="72"/>
      <c r="K109" s="93"/>
    </row>
    <row r="110" spans="2:11" ht="15.95" customHeight="1" x14ac:dyDescent="0.3">
      <c r="B110" s="11">
        <f t="shared" si="3"/>
        <v>0</v>
      </c>
      <c r="C110" s="114"/>
      <c r="D110" s="21">
        <v>32</v>
      </c>
      <c r="E110" s="12"/>
      <c r="F110" s="13"/>
      <c r="G110" s="13"/>
      <c r="H110" s="13"/>
      <c r="I110" s="13"/>
      <c r="J110" s="74"/>
      <c r="K110" s="80"/>
    </row>
    <row r="111" spans="2:11" ht="15.95" customHeight="1" x14ac:dyDescent="0.3">
      <c r="B111" s="11">
        <f t="shared" si="3"/>
        <v>0</v>
      </c>
      <c r="C111" s="114"/>
      <c r="D111" s="21">
        <v>40</v>
      </c>
      <c r="E111" s="12"/>
      <c r="F111" s="13"/>
      <c r="G111" s="13"/>
      <c r="H111" s="13"/>
      <c r="I111" s="13"/>
      <c r="J111" s="64"/>
      <c r="K111" s="83"/>
    </row>
    <row r="112" spans="2:11" ht="15.95" customHeight="1" x14ac:dyDescent="0.3">
      <c r="B112" s="14">
        <f t="shared" si="3"/>
        <v>0</v>
      </c>
      <c r="C112" s="115"/>
      <c r="D112" s="53" t="s">
        <v>85</v>
      </c>
      <c r="E112" s="15"/>
      <c r="F112" s="16"/>
      <c r="G112" s="16"/>
      <c r="H112" s="16"/>
      <c r="I112" s="16"/>
      <c r="J112" s="65"/>
      <c r="K112" s="84"/>
    </row>
    <row r="113" spans="2:11" ht="15.95" customHeight="1" thickBot="1" x14ac:dyDescent="0.35">
      <c r="B113" s="14">
        <f t="shared" si="3"/>
        <v>0</v>
      </c>
      <c r="C113" s="115"/>
      <c r="D113" s="39" t="s">
        <v>86</v>
      </c>
      <c r="E113" s="15"/>
      <c r="F113" s="16"/>
      <c r="G113" s="16"/>
      <c r="H113" s="16"/>
      <c r="I113" s="16"/>
      <c r="J113" s="65"/>
      <c r="K113" s="84"/>
    </row>
    <row r="114" spans="2:11" ht="15.95" customHeight="1" thickTop="1" x14ac:dyDescent="0.3">
      <c r="B114" s="94">
        <f t="shared" si="3"/>
        <v>0</v>
      </c>
      <c r="C114" s="110" t="s">
        <v>22</v>
      </c>
      <c r="D114" s="18">
        <v>25</v>
      </c>
      <c r="E114" s="19"/>
      <c r="F114" s="20"/>
      <c r="G114" s="20"/>
      <c r="H114" s="20"/>
      <c r="I114" s="20"/>
      <c r="J114" s="66"/>
      <c r="K114" s="79"/>
    </row>
    <row r="115" spans="2:11" ht="15.95" customHeight="1" x14ac:dyDescent="0.3">
      <c r="B115" s="96">
        <f t="shared" si="3"/>
        <v>0</v>
      </c>
      <c r="C115" s="111"/>
      <c r="D115" s="21">
        <v>32</v>
      </c>
      <c r="E115" s="37"/>
      <c r="F115" s="38"/>
      <c r="G115" s="38"/>
      <c r="H115" s="38"/>
      <c r="I115" s="38"/>
      <c r="J115" s="70"/>
      <c r="K115" s="88"/>
    </row>
    <row r="116" spans="2:11" ht="15.95" customHeight="1" x14ac:dyDescent="0.3">
      <c r="B116" s="96">
        <f t="shared" si="3"/>
        <v>0</v>
      </c>
      <c r="C116" s="111"/>
      <c r="D116" s="21">
        <v>40</v>
      </c>
      <c r="E116" s="37"/>
      <c r="F116" s="38"/>
      <c r="G116" s="38"/>
      <c r="H116" s="38"/>
      <c r="I116" s="38"/>
      <c r="J116" s="70"/>
      <c r="K116" s="88"/>
    </row>
    <row r="117" spans="2:11" ht="15.95" customHeight="1" thickBot="1" x14ac:dyDescent="0.35">
      <c r="B117" s="95">
        <f t="shared" si="3"/>
        <v>0</v>
      </c>
      <c r="C117" s="112"/>
      <c r="D117" s="34">
        <v>50</v>
      </c>
      <c r="E117" s="30"/>
      <c r="F117" s="31"/>
      <c r="G117" s="31"/>
      <c r="H117" s="31"/>
      <c r="I117" s="31"/>
      <c r="J117" s="68"/>
      <c r="K117" s="86"/>
    </row>
    <row r="118" spans="2:11" ht="15.95" customHeight="1" thickTop="1" x14ac:dyDescent="0.3">
      <c r="B118" s="94">
        <f t="shared" si="3"/>
        <v>0</v>
      </c>
      <c r="C118" s="110" t="s">
        <v>23</v>
      </c>
      <c r="D118" s="48" t="s">
        <v>24</v>
      </c>
      <c r="E118" s="19"/>
      <c r="F118" s="20"/>
      <c r="G118" s="20"/>
      <c r="H118" s="20"/>
      <c r="I118" s="20"/>
      <c r="J118" s="66"/>
      <c r="K118" s="79"/>
    </row>
    <row r="119" spans="2:11" ht="15.95" customHeight="1" x14ac:dyDescent="0.3">
      <c r="B119" s="105">
        <f t="shared" si="3"/>
        <v>0</v>
      </c>
      <c r="C119" s="111"/>
      <c r="D119" s="49"/>
      <c r="E119" s="12"/>
      <c r="F119" s="13"/>
      <c r="G119" s="13"/>
      <c r="H119" s="13"/>
      <c r="I119" s="13"/>
      <c r="J119" s="64"/>
      <c r="K119" s="83"/>
    </row>
    <row r="120" spans="2:11" ht="15.95" customHeight="1" x14ac:dyDescent="0.3">
      <c r="B120" s="105">
        <f t="shared" si="3"/>
        <v>0</v>
      </c>
      <c r="C120" s="111"/>
      <c r="D120" s="49"/>
      <c r="E120" s="12"/>
      <c r="F120" s="13"/>
      <c r="G120" s="13"/>
      <c r="H120" s="13"/>
      <c r="I120" s="13"/>
      <c r="J120" s="64"/>
      <c r="K120" s="83"/>
    </row>
    <row r="121" spans="2:11" ht="15.75" customHeight="1" thickBot="1" x14ac:dyDescent="0.35">
      <c r="B121" s="106">
        <f t="shared" si="3"/>
        <v>0</v>
      </c>
      <c r="C121" s="124"/>
      <c r="D121" s="107"/>
      <c r="E121" s="24"/>
      <c r="F121" s="25"/>
      <c r="G121" s="25"/>
      <c r="H121" s="25"/>
      <c r="I121" s="25"/>
      <c r="J121" s="67"/>
      <c r="K121" s="85"/>
    </row>
    <row r="122" spans="2:11" ht="15.95" customHeight="1" thickBot="1" x14ac:dyDescent="0.35"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2:11" s="7" customFormat="1" ht="15.75" customHeight="1" thickBot="1" x14ac:dyDescent="0.35">
      <c r="B123" s="51" t="s">
        <v>43</v>
      </c>
      <c r="C123" s="117" t="s">
        <v>54</v>
      </c>
      <c r="D123" s="118"/>
      <c r="E123" s="46"/>
      <c r="F123" s="46"/>
      <c r="G123" s="46"/>
      <c r="H123" s="46"/>
      <c r="I123" s="46"/>
      <c r="J123" s="46"/>
      <c r="K123" s="54"/>
    </row>
    <row r="124" spans="2:11" ht="15.75" customHeight="1" thickTop="1" x14ac:dyDescent="0.3">
      <c r="B124" s="17">
        <f>SUM(E124:J124)</f>
        <v>0</v>
      </c>
      <c r="C124" s="119" t="s">
        <v>63</v>
      </c>
      <c r="D124" s="18">
        <v>50</v>
      </c>
      <c r="E124" s="19"/>
      <c r="F124" s="20"/>
      <c r="G124" s="20"/>
      <c r="H124" s="20"/>
      <c r="I124" s="20"/>
      <c r="J124" s="66"/>
      <c r="K124" s="79"/>
    </row>
    <row r="125" spans="2:11" ht="15.75" customHeight="1" x14ac:dyDescent="0.3">
      <c r="B125" s="11">
        <f>SUM(E125:J125)</f>
        <v>0</v>
      </c>
      <c r="C125" s="114"/>
      <c r="D125" s="21" t="s">
        <v>46</v>
      </c>
      <c r="E125" s="12"/>
      <c r="F125" s="13"/>
      <c r="G125" s="13"/>
      <c r="H125" s="13"/>
      <c r="I125" s="13"/>
      <c r="J125" s="64"/>
      <c r="K125" s="83"/>
    </row>
    <row r="126" spans="2:11" ht="15.75" customHeight="1" x14ac:dyDescent="0.3">
      <c r="B126" s="11">
        <f>SUM(E126:J126)</f>
        <v>0</v>
      </c>
      <c r="C126" s="114"/>
      <c r="D126" s="21" t="s">
        <v>47</v>
      </c>
      <c r="E126" s="12"/>
      <c r="F126" s="13"/>
      <c r="G126" s="13"/>
      <c r="H126" s="13"/>
      <c r="I126" s="13"/>
      <c r="J126" s="64"/>
      <c r="K126" s="83"/>
    </row>
    <row r="127" spans="2:11" ht="15.75" customHeight="1" thickBot="1" x14ac:dyDescent="0.35">
      <c r="B127" s="28">
        <f t="shared" ref="B127:B153" si="5">SUM(E127:J127)</f>
        <v>0</v>
      </c>
      <c r="C127" s="120"/>
      <c r="D127" s="34" t="s">
        <v>48</v>
      </c>
      <c r="E127" s="30"/>
      <c r="F127" s="31"/>
      <c r="G127" s="31"/>
      <c r="H127" s="31"/>
      <c r="I127" s="31"/>
      <c r="J127" s="68"/>
      <c r="K127" s="86"/>
    </row>
    <row r="128" spans="2:11" ht="15.75" customHeight="1" thickTop="1" x14ac:dyDescent="0.3">
      <c r="B128" s="17">
        <f t="shared" si="5"/>
        <v>0</v>
      </c>
      <c r="C128" s="113" t="s">
        <v>79</v>
      </c>
      <c r="D128" s="18">
        <v>50</v>
      </c>
      <c r="E128" s="19"/>
      <c r="F128" s="20"/>
      <c r="G128" s="20"/>
      <c r="H128" s="20"/>
      <c r="I128" s="20"/>
      <c r="J128" s="66"/>
      <c r="K128" s="79"/>
    </row>
    <row r="129" spans="2:11" ht="15.75" customHeight="1" x14ac:dyDescent="0.3">
      <c r="B129" s="11">
        <f t="shared" si="5"/>
        <v>0</v>
      </c>
      <c r="C129" s="114"/>
      <c r="D129" s="21" t="s">
        <v>49</v>
      </c>
      <c r="E129" s="12"/>
      <c r="F129" s="13"/>
      <c r="G129" s="13"/>
      <c r="H129" s="13"/>
      <c r="I129" s="13"/>
      <c r="J129" s="64"/>
      <c r="K129" s="83"/>
    </row>
    <row r="130" spans="2:11" ht="15.75" customHeight="1" x14ac:dyDescent="0.3">
      <c r="B130" s="11">
        <f t="shared" si="5"/>
        <v>0</v>
      </c>
      <c r="C130" s="114"/>
      <c r="D130" s="21" t="s">
        <v>50</v>
      </c>
      <c r="E130" s="12"/>
      <c r="F130" s="13"/>
      <c r="G130" s="13"/>
      <c r="H130" s="13"/>
      <c r="I130" s="13"/>
      <c r="J130" s="64"/>
      <c r="K130" s="83"/>
    </row>
    <row r="131" spans="2:11" ht="15.75" customHeight="1" thickBot="1" x14ac:dyDescent="0.35">
      <c r="B131" s="28">
        <f t="shared" si="5"/>
        <v>0</v>
      </c>
      <c r="C131" s="120"/>
      <c r="D131" s="34" t="s">
        <v>51</v>
      </c>
      <c r="E131" s="30"/>
      <c r="F131" s="31"/>
      <c r="G131" s="31"/>
      <c r="H131" s="31"/>
      <c r="I131" s="31"/>
      <c r="J131" s="68"/>
      <c r="K131" s="86"/>
    </row>
    <row r="132" spans="2:11" ht="15.95" customHeight="1" thickTop="1" x14ac:dyDescent="0.3">
      <c r="B132" s="17">
        <f t="shared" si="5"/>
        <v>0</v>
      </c>
      <c r="C132" s="113" t="s">
        <v>80</v>
      </c>
      <c r="D132" s="18">
        <v>50</v>
      </c>
      <c r="E132" s="19"/>
      <c r="F132" s="20"/>
      <c r="G132" s="20"/>
      <c r="H132" s="20"/>
      <c r="I132" s="20"/>
      <c r="J132" s="66"/>
      <c r="K132" s="79"/>
    </row>
    <row r="133" spans="2:11" ht="15.95" customHeight="1" x14ac:dyDescent="0.3">
      <c r="B133" s="11">
        <f t="shared" si="5"/>
        <v>0</v>
      </c>
      <c r="C133" s="114"/>
      <c r="D133" s="52" t="s">
        <v>46</v>
      </c>
      <c r="E133" s="12"/>
      <c r="F133" s="13"/>
      <c r="G133" s="13"/>
      <c r="H133" s="13"/>
      <c r="I133" s="13"/>
      <c r="J133" s="64"/>
      <c r="K133" s="83"/>
    </row>
    <row r="134" spans="2:11" ht="15.95" customHeight="1" x14ac:dyDescent="0.3">
      <c r="B134" s="11">
        <f t="shared" si="5"/>
        <v>0</v>
      </c>
      <c r="C134" s="114"/>
      <c r="D134" s="52" t="s">
        <v>47</v>
      </c>
      <c r="E134" s="12"/>
      <c r="F134" s="13"/>
      <c r="G134" s="13"/>
      <c r="H134" s="13"/>
      <c r="I134" s="13"/>
      <c r="J134" s="64"/>
      <c r="K134" s="83"/>
    </row>
    <row r="135" spans="2:11" ht="15.95" customHeight="1" thickBot="1" x14ac:dyDescent="0.35">
      <c r="B135" s="28">
        <f t="shared" si="5"/>
        <v>0</v>
      </c>
      <c r="C135" s="120"/>
      <c r="D135" s="34" t="s">
        <v>48</v>
      </c>
      <c r="E135" s="30"/>
      <c r="F135" s="31"/>
      <c r="G135" s="31"/>
      <c r="H135" s="31"/>
      <c r="I135" s="31"/>
      <c r="J135" s="68"/>
      <c r="K135" s="86"/>
    </row>
    <row r="136" spans="2:11" ht="15.95" customHeight="1" thickTop="1" x14ac:dyDescent="0.3">
      <c r="B136" s="17">
        <f t="shared" si="5"/>
        <v>0</v>
      </c>
      <c r="C136" s="121" t="s">
        <v>81</v>
      </c>
      <c r="D136" s="18" t="s">
        <v>82</v>
      </c>
      <c r="E136" s="19"/>
      <c r="F136" s="20"/>
      <c r="G136" s="20"/>
      <c r="H136" s="20"/>
      <c r="I136" s="20"/>
      <c r="J136" s="66"/>
      <c r="K136" s="79"/>
    </row>
    <row r="137" spans="2:11" ht="15.95" customHeight="1" x14ac:dyDescent="0.3">
      <c r="B137" s="11">
        <f t="shared" si="5"/>
        <v>0</v>
      </c>
      <c r="C137" s="122"/>
      <c r="D137" s="21" t="s">
        <v>83</v>
      </c>
      <c r="E137" s="12"/>
      <c r="F137" s="13"/>
      <c r="G137" s="13"/>
      <c r="H137" s="13"/>
      <c r="I137" s="13"/>
      <c r="J137" s="64"/>
      <c r="K137" s="83"/>
    </row>
    <row r="138" spans="2:11" ht="15.95" customHeight="1" x14ac:dyDescent="0.3">
      <c r="B138" s="11">
        <f t="shared" si="5"/>
        <v>0</v>
      </c>
      <c r="C138" s="122"/>
      <c r="D138" s="21" t="s">
        <v>84</v>
      </c>
      <c r="E138" s="12"/>
      <c r="F138" s="13"/>
      <c r="G138" s="13"/>
      <c r="H138" s="47"/>
      <c r="I138" s="47"/>
      <c r="J138" s="74"/>
      <c r="K138" s="80"/>
    </row>
    <row r="139" spans="2:11" ht="15.95" customHeight="1" x14ac:dyDescent="0.3">
      <c r="B139" s="11">
        <f t="shared" si="5"/>
        <v>0</v>
      </c>
      <c r="C139" s="122"/>
      <c r="D139" s="21" t="s">
        <v>85</v>
      </c>
      <c r="E139" s="12"/>
      <c r="F139" s="13"/>
      <c r="G139" s="13"/>
      <c r="H139" s="13"/>
      <c r="I139" s="13"/>
      <c r="J139" s="64"/>
      <c r="K139" s="83"/>
    </row>
    <row r="140" spans="2:11" ht="15.95" customHeight="1" x14ac:dyDescent="0.3">
      <c r="B140" s="11">
        <f t="shared" si="5"/>
        <v>0</v>
      </c>
      <c r="C140" s="122"/>
      <c r="D140" s="21" t="s">
        <v>86</v>
      </c>
      <c r="E140" s="12"/>
      <c r="F140" s="13"/>
      <c r="G140" s="13"/>
      <c r="H140" s="13"/>
      <c r="I140" s="13"/>
      <c r="J140" s="64"/>
      <c r="K140" s="83"/>
    </row>
    <row r="141" spans="2:11" ht="15.95" customHeight="1" x14ac:dyDescent="0.3">
      <c r="B141" s="11">
        <f t="shared" si="5"/>
        <v>0</v>
      </c>
      <c r="C141" s="122"/>
      <c r="D141" s="21" t="s">
        <v>87</v>
      </c>
      <c r="E141" s="12"/>
      <c r="F141" s="13"/>
      <c r="G141" s="13"/>
      <c r="H141" s="13"/>
      <c r="I141" s="13"/>
      <c r="J141" s="74"/>
      <c r="K141" s="80"/>
    </row>
    <row r="142" spans="2:11" ht="15.95" customHeight="1" x14ac:dyDescent="0.3">
      <c r="B142" s="11">
        <f t="shared" si="5"/>
        <v>0</v>
      </c>
      <c r="C142" s="122"/>
      <c r="D142" s="21" t="s">
        <v>88</v>
      </c>
      <c r="E142" s="12"/>
      <c r="F142" s="13"/>
      <c r="G142" s="13"/>
      <c r="H142" s="13"/>
      <c r="I142" s="13"/>
      <c r="J142" s="74"/>
      <c r="K142" s="80"/>
    </row>
    <row r="143" spans="2:11" ht="15.95" customHeight="1" x14ac:dyDescent="0.3">
      <c r="B143" s="11">
        <f t="shared" si="5"/>
        <v>0</v>
      </c>
      <c r="C143" s="122"/>
      <c r="D143" s="21" t="s">
        <v>88</v>
      </c>
      <c r="E143" s="12"/>
      <c r="F143" s="13"/>
      <c r="G143" s="13"/>
      <c r="H143" s="13"/>
      <c r="I143" s="13"/>
      <c r="J143" s="74"/>
      <c r="K143" s="80"/>
    </row>
    <row r="144" spans="2:11" ht="15.95" customHeight="1" thickBot="1" x14ac:dyDescent="0.35">
      <c r="B144" s="28">
        <f t="shared" si="5"/>
        <v>0</v>
      </c>
      <c r="C144" s="123"/>
      <c r="D144" s="34" t="s">
        <v>88</v>
      </c>
      <c r="E144" s="30"/>
      <c r="F144" s="31"/>
      <c r="G144" s="31"/>
      <c r="H144" s="31"/>
      <c r="I144" s="31"/>
      <c r="J144" s="78"/>
      <c r="K144" s="92"/>
    </row>
    <row r="145" spans="2:11" ht="15.95" customHeight="1" thickTop="1" x14ac:dyDescent="0.3">
      <c r="B145" s="17">
        <f t="shared" si="5"/>
        <v>0</v>
      </c>
      <c r="C145" s="121" t="s">
        <v>88</v>
      </c>
      <c r="D145" s="18" t="s">
        <v>88</v>
      </c>
      <c r="E145" s="19"/>
      <c r="F145" s="20"/>
      <c r="G145" s="20"/>
      <c r="H145" s="20"/>
      <c r="I145" s="20"/>
      <c r="J145" s="66"/>
      <c r="K145" s="79"/>
    </row>
    <row r="146" spans="2:11" ht="15.95" customHeight="1" x14ac:dyDescent="0.3">
      <c r="B146" s="11">
        <f t="shared" si="5"/>
        <v>0</v>
      </c>
      <c r="C146" s="122"/>
      <c r="D146" s="52" t="s">
        <v>88</v>
      </c>
      <c r="E146" s="12"/>
      <c r="F146" s="13"/>
      <c r="G146" s="13"/>
      <c r="H146" s="13"/>
      <c r="I146" s="13"/>
      <c r="J146" s="64"/>
      <c r="K146" s="83"/>
    </row>
    <row r="147" spans="2:11" ht="15.95" customHeight="1" x14ac:dyDescent="0.3">
      <c r="B147" s="11">
        <f t="shared" si="5"/>
        <v>0</v>
      </c>
      <c r="C147" s="122"/>
      <c r="D147" s="52" t="s">
        <v>88</v>
      </c>
      <c r="E147" s="12"/>
      <c r="F147" s="13"/>
      <c r="G147" s="13"/>
      <c r="H147" s="47"/>
      <c r="I147" s="47"/>
      <c r="J147" s="74"/>
      <c r="K147" s="80"/>
    </row>
    <row r="148" spans="2:11" ht="15.95" customHeight="1" x14ac:dyDescent="0.3">
      <c r="B148" s="11">
        <f t="shared" si="5"/>
        <v>0</v>
      </c>
      <c r="C148" s="122"/>
      <c r="D148" s="52" t="s">
        <v>88</v>
      </c>
      <c r="E148" s="12"/>
      <c r="F148" s="13"/>
      <c r="G148" s="13"/>
      <c r="H148" s="13"/>
      <c r="I148" s="13"/>
      <c r="J148" s="64"/>
      <c r="K148" s="83"/>
    </row>
    <row r="149" spans="2:11" ht="15.95" customHeight="1" x14ac:dyDescent="0.3">
      <c r="B149" s="11">
        <f t="shared" si="5"/>
        <v>0</v>
      </c>
      <c r="C149" s="122"/>
      <c r="D149" s="52" t="s">
        <v>88</v>
      </c>
      <c r="E149" s="12"/>
      <c r="F149" s="13"/>
      <c r="G149" s="13"/>
      <c r="H149" s="13"/>
      <c r="I149" s="13"/>
      <c r="J149" s="64"/>
      <c r="K149" s="83"/>
    </row>
    <row r="150" spans="2:11" ht="15.95" customHeight="1" x14ac:dyDescent="0.3">
      <c r="B150" s="11">
        <f t="shared" si="5"/>
        <v>0</v>
      </c>
      <c r="C150" s="122"/>
      <c r="D150" s="52" t="s">
        <v>88</v>
      </c>
      <c r="E150" s="12"/>
      <c r="F150" s="13"/>
      <c r="G150" s="13"/>
      <c r="H150" s="13"/>
      <c r="I150" s="13"/>
      <c r="J150" s="74"/>
      <c r="K150" s="80"/>
    </row>
    <row r="151" spans="2:11" ht="15.95" customHeight="1" x14ac:dyDescent="0.3">
      <c r="B151" s="11">
        <f t="shared" si="5"/>
        <v>0</v>
      </c>
      <c r="C151" s="122"/>
      <c r="D151" s="52" t="s">
        <v>88</v>
      </c>
      <c r="E151" s="12"/>
      <c r="F151" s="13"/>
      <c r="G151" s="13"/>
      <c r="H151" s="13"/>
      <c r="I151" s="13"/>
      <c r="J151" s="74"/>
      <c r="K151" s="80"/>
    </row>
    <row r="152" spans="2:11" ht="15.95" customHeight="1" x14ac:dyDescent="0.3">
      <c r="B152" s="11">
        <f t="shared" si="5"/>
        <v>0</v>
      </c>
      <c r="C152" s="122"/>
      <c r="D152" s="52" t="s">
        <v>88</v>
      </c>
      <c r="E152" s="12"/>
      <c r="F152" s="13"/>
      <c r="G152" s="13"/>
      <c r="H152" s="13"/>
      <c r="I152" s="13"/>
      <c r="J152" s="74"/>
      <c r="K152" s="80"/>
    </row>
    <row r="153" spans="2:11" ht="15.95" customHeight="1" thickBot="1" x14ac:dyDescent="0.35">
      <c r="B153" s="28">
        <f t="shared" si="5"/>
        <v>0</v>
      </c>
      <c r="C153" s="123"/>
      <c r="D153" s="34" t="s">
        <v>88</v>
      </c>
      <c r="E153" s="30"/>
      <c r="F153" s="31"/>
      <c r="G153" s="31"/>
      <c r="H153" s="31"/>
      <c r="I153" s="31"/>
      <c r="J153" s="78"/>
      <c r="K153" s="92"/>
    </row>
    <row r="154" spans="2:11" ht="15.95" customHeight="1" thickTop="1" x14ac:dyDescent="0.3"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2:11" ht="15.95" customHeight="1" x14ac:dyDescent="0.3">
      <c r="B155" s="145" t="s">
        <v>26</v>
      </c>
      <c r="C155" s="146"/>
      <c r="D155" s="136" t="s">
        <v>25</v>
      </c>
      <c r="E155" s="137"/>
      <c r="F155" s="137"/>
      <c r="G155" s="137"/>
      <c r="H155" s="137"/>
      <c r="I155" s="137"/>
      <c r="J155" s="137"/>
      <c r="K155" s="138"/>
    </row>
    <row r="156" spans="2:11" ht="15.95" customHeight="1" x14ac:dyDescent="0.3">
      <c r="B156" s="147"/>
      <c r="C156" s="148"/>
      <c r="D156" s="139"/>
      <c r="E156" s="140"/>
      <c r="F156" s="140"/>
      <c r="G156" s="140"/>
      <c r="H156" s="140"/>
      <c r="I156" s="140"/>
      <c r="J156" s="140"/>
      <c r="K156" s="141"/>
    </row>
    <row r="157" spans="2:11" ht="15.95" customHeight="1" x14ac:dyDescent="0.3">
      <c r="B157" s="149"/>
      <c r="C157" s="150"/>
      <c r="D157" s="142"/>
      <c r="E157" s="143"/>
      <c r="F157" s="143"/>
      <c r="G157" s="143"/>
      <c r="H157" s="143"/>
      <c r="I157" s="143"/>
      <c r="J157" s="143"/>
      <c r="K157" s="144"/>
    </row>
    <row r="158" spans="2:11" ht="15.95" customHeight="1" x14ac:dyDescent="0.3"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62" spans="7:11" ht="15.95" customHeight="1" x14ac:dyDescent="0.3">
      <c r="G162" s="2"/>
      <c r="H162" s="2"/>
      <c r="I162" s="2"/>
      <c r="J162" s="2"/>
      <c r="K162" s="2"/>
    </row>
    <row r="163" spans="7:11" ht="15.95" customHeight="1" x14ac:dyDescent="0.3">
      <c r="G163" s="2"/>
      <c r="H163" s="2"/>
      <c r="I163" s="2"/>
      <c r="J163" s="2"/>
      <c r="K163" s="2"/>
    </row>
    <row r="164" spans="7:11" ht="15.95" customHeight="1" x14ac:dyDescent="0.3">
      <c r="G164" s="2"/>
      <c r="H164" s="2"/>
      <c r="I164" s="2"/>
      <c r="J164" s="2"/>
      <c r="K164" s="2"/>
    </row>
  </sheetData>
  <mergeCells count="46">
    <mergeCell ref="C145:C153"/>
    <mergeCell ref="C26:C34"/>
    <mergeCell ref="C89:C92"/>
    <mergeCell ref="I2:K3"/>
    <mergeCell ref="F2:G3"/>
    <mergeCell ref="C8:D9"/>
    <mergeCell ref="B8:B9"/>
    <mergeCell ref="C6:D6"/>
    <mergeCell ref="D155:K157"/>
    <mergeCell ref="B155:C157"/>
    <mergeCell ref="C2:D2"/>
    <mergeCell ref="C44:C52"/>
    <mergeCell ref="C53:C62"/>
    <mergeCell ref="C128:C131"/>
    <mergeCell ref="C124:C127"/>
    <mergeCell ref="C35:C43"/>
    <mergeCell ref="C85:C88"/>
    <mergeCell ref="C93:C101"/>
    <mergeCell ref="C102:C108"/>
    <mergeCell ref="K8:K9"/>
    <mergeCell ref="C16:D16"/>
    <mergeCell ref="C17:D17"/>
    <mergeCell ref="C18:D18"/>
    <mergeCell ref="C19:C21"/>
    <mergeCell ref="C24:C25"/>
    <mergeCell ref="C23:D23"/>
    <mergeCell ref="I5:K5"/>
    <mergeCell ref="I4:K4"/>
    <mergeCell ref="C123:D123"/>
    <mergeCell ref="C132:C135"/>
    <mergeCell ref="C136:C144"/>
    <mergeCell ref="C73:C82"/>
    <mergeCell ref="C118:C121"/>
    <mergeCell ref="C109:C113"/>
    <mergeCell ref="C84:D84"/>
    <mergeCell ref="B4:D5"/>
    <mergeCell ref="B3:D3"/>
    <mergeCell ref="C114:C117"/>
    <mergeCell ref="C63:C72"/>
    <mergeCell ref="I6:K6"/>
    <mergeCell ref="C14:D14"/>
    <mergeCell ref="C10:D10"/>
    <mergeCell ref="C11:D11"/>
    <mergeCell ref="C12:D12"/>
    <mergeCell ref="C13:D13"/>
    <mergeCell ref="C15:D15"/>
  </mergeCells>
  <phoneticPr fontId="2" type="noConversion"/>
  <pageMargins left="0.25" right="0.25" top="0.75" bottom="0.75" header="0.3" footer="0.3"/>
  <pageSetup paperSize="9" scale="76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5"/>
  <sheetViews>
    <sheetView workbookViewId="0">
      <selection activeCell="M25" sqref="M25"/>
    </sheetView>
  </sheetViews>
  <sheetFormatPr defaultRowHeight="16.5" x14ac:dyDescent="0.3"/>
  <cols>
    <col min="1" max="1" width="2.625" style="98" customWidth="1"/>
    <col min="2" max="2" width="8.625" style="98" customWidth="1"/>
    <col min="3" max="3" width="10.625" style="98" customWidth="1"/>
    <col min="4" max="5" width="9" style="98"/>
    <col min="6" max="6" width="8.625" style="98" customWidth="1"/>
    <col min="7" max="7" width="10.625" style="98" customWidth="1"/>
    <col min="8" max="9" width="9" style="98"/>
    <col min="10" max="10" width="8.625" style="98" customWidth="1"/>
    <col min="11" max="11" width="10.625" style="98" customWidth="1"/>
    <col min="12" max="13" width="9" style="98"/>
    <col min="14" max="14" width="8.625" style="98" customWidth="1"/>
    <col min="15" max="15" width="10.625" style="98" customWidth="1"/>
    <col min="16" max="17" width="9" style="98"/>
    <col min="18" max="18" width="8.625" style="98" customWidth="1"/>
    <col min="19" max="19" width="10.625" style="98" customWidth="1"/>
    <col min="20" max="16384" width="9" style="98"/>
  </cols>
  <sheetData>
    <row r="2" spans="2:20" x14ac:dyDescent="0.3">
      <c r="B2" s="98" t="s">
        <v>70</v>
      </c>
    </row>
    <row r="4" spans="2:20" x14ac:dyDescent="0.3">
      <c r="B4" s="158" t="s">
        <v>2</v>
      </c>
      <c r="C4" s="99" t="s">
        <v>3</v>
      </c>
      <c r="D4" s="99"/>
      <c r="F4" s="158" t="s">
        <v>42</v>
      </c>
      <c r="G4" s="100">
        <v>25</v>
      </c>
      <c r="H4" s="100"/>
      <c r="J4" s="158" t="s">
        <v>41</v>
      </c>
      <c r="K4" s="100">
        <v>25</v>
      </c>
      <c r="L4" s="100"/>
      <c r="N4" s="153" t="s">
        <v>72</v>
      </c>
      <c r="O4" s="100" t="s">
        <v>31</v>
      </c>
      <c r="P4" s="100"/>
      <c r="R4" s="158" t="s">
        <v>55</v>
      </c>
      <c r="S4" s="99" t="s">
        <v>56</v>
      </c>
      <c r="T4" s="101"/>
    </row>
    <row r="5" spans="2:20" x14ac:dyDescent="0.3">
      <c r="B5" s="158"/>
      <c r="C5" s="99" t="s">
        <v>4</v>
      </c>
      <c r="D5" s="99"/>
      <c r="F5" s="158"/>
      <c r="G5" s="100">
        <v>32</v>
      </c>
      <c r="H5" s="100"/>
      <c r="J5" s="158"/>
      <c r="K5" s="100">
        <v>32</v>
      </c>
      <c r="L5" s="100"/>
      <c r="N5" s="154"/>
      <c r="O5" s="100" t="s">
        <v>32</v>
      </c>
      <c r="P5" s="100"/>
      <c r="R5" s="158"/>
      <c r="S5" s="99" t="s">
        <v>61</v>
      </c>
      <c r="T5" s="101"/>
    </row>
    <row r="6" spans="2:20" x14ac:dyDescent="0.3">
      <c r="B6" s="158" t="s">
        <v>63</v>
      </c>
      <c r="C6" s="100">
        <v>50</v>
      </c>
      <c r="D6" s="100"/>
      <c r="F6" s="158"/>
      <c r="G6" s="100">
        <v>40</v>
      </c>
      <c r="H6" s="100"/>
      <c r="J6" s="158"/>
      <c r="K6" s="100">
        <v>40</v>
      </c>
      <c r="L6" s="100"/>
      <c r="N6" s="154"/>
      <c r="O6" s="100" t="s">
        <v>33</v>
      </c>
      <c r="P6" s="100"/>
      <c r="R6" s="158"/>
      <c r="S6" s="99" t="s">
        <v>57</v>
      </c>
      <c r="T6" s="101"/>
    </row>
    <row r="7" spans="2:20" x14ac:dyDescent="0.3">
      <c r="B7" s="158"/>
      <c r="C7" s="100" t="s">
        <v>46</v>
      </c>
      <c r="D7" s="100"/>
      <c r="F7" s="158"/>
      <c r="G7" s="100">
        <v>50</v>
      </c>
      <c r="H7" s="100"/>
      <c r="J7" s="158"/>
      <c r="K7" s="100">
        <v>50</v>
      </c>
      <c r="L7" s="100"/>
      <c r="N7" s="154"/>
      <c r="O7" s="100" t="s">
        <v>34</v>
      </c>
      <c r="P7" s="100"/>
      <c r="R7" s="158"/>
      <c r="S7" s="99" t="s">
        <v>46</v>
      </c>
      <c r="T7" s="101"/>
    </row>
    <row r="8" spans="2:20" x14ac:dyDescent="0.3">
      <c r="B8" s="158"/>
      <c r="C8" s="100" t="s">
        <v>47</v>
      </c>
      <c r="D8" s="100"/>
      <c r="F8" s="158"/>
      <c r="G8" s="100">
        <v>65</v>
      </c>
      <c r="H8" s="100"/>
      <c r="J8" s="158"/>
      <c r="K8" s="100">
        <v>65</v>
      </c>
      <c r="L8" s="100"/>
      <c r="N8" s="154"/>
      <c r="O8" s="100" t="s">
        <v>35</v>
      </c>
      <c r="P8" s="100"/>
      <c r="R8" s="158"/>
      <c r="S8" s="99" t="s">
        <v>58</v>
      </c>
      <c r="T8" s="101"/>
    </row>
    <row r="9" spans="2:20" x14ac:dyDescent="0.3">
      <c r="B9" s="158"/>
      <c r="C9" s="100" t="s">
        <v>48</v>
      </c>
      <c r="D9" s="100"/>
      <c r="F9" s="158"/>
      <c r="G9" s="100">
        <v>80</v>
      </c>
      <c r="H9" s="100"/>
      <c r="J9" s="158"/>
      <c r="K9" s="100">
        <v>80</v>
      </c>
      <c r="L9" s="100"/>
      <c r="N9" s="154"/>
      <c r="O9" s="100" t="s">
        <v>36</v>
      </c>
      <c r="P9" s="100"/>
      <c r="R9" s="158"/>
      <c r="S9" s="99" t="s">
        <v>62</v>
      </c>
      <c r="T9" s="101"/>
    </row>
    <row r="10" spans="2:20" x14ac:dyDescent="0.3">
      <c r="B10" s="158" t="s">
        <v>40</v>
      </c>
      <c r="C10" s="100">
        <v>50</v>
      </c>
      <c r="D10" s="100"/>
      <c r="F10" s="158"/>
      <c r="G10" s="100">
        <v>100</v>
      </c>
      <c r="H10" s="100"/>
      <c r="J10" s="158"/>
      <c r="K10" s="100">
        <v>100</v>
      </c>
      <c r="L10" s="100"/>
      <c r="N10" s="154"/>
      <c r="O10" s="100" t="s">
        <v>37</v>
      </c>
      <c r="P10" s="100"/>
      <c r="R10" s="158"/>
      <c r="S10" s="99" t="s">
        <v>59</v>
      </c>
      <c r="T10" s="101"/>
    </row>
    <row r="11" spans="2:20" x14ac:dyDescent="0.3">
      <c r="B11" s="158"/>
      <c r="C11" s="100" t="s">
        <v>49</v>
      </c>
      <c r="D11" s="100"/>
      <c r="F11" s="158"/>
      <c r="G11" s="100">
        <v>125</v>
      </c>
      <c r="H11" s="100"/>
      <c r="J11" s="158"/>
      <c r="K11" s="100">
        <v>125</v>
      </c>
      <c r="L11" s="100"/>
      <c r="N11" s="154"/>
      <c r="O11" s="100" t="s">
        <v>38</v>
      </c>
      <c r="P11" s="100"/>
      <c r="R11" s="158"/>
      <c r="S11" s="99" t="s">
        <v>60</v>
      </c>
      <c r="T11" s="101"/>
    </row>
    <row r="12" spans="2:20" x14ac:dyDescent="0.3">
      <c r="B12" s="158"/>
      <c r="C12" s="100" t="s">
        <v>50</v>
      </c>
      <c r="D12" s="100"/>
      <c r="F12" s="158"/>
      <c r="G12" s="100">
        <v>150</v>
      </c>
      <c r="H12" s="100"/>
      <c r="J12" s="158"/>
      <c r="K12" s="100">
        <v>150</v>
      </c>
      <c r="L12" s="100"/>
      <c r="N12" s="155"/>
      <c r="O12" s="100" t="s">
        <v>39</v>
      </c>
      <c r="P12" s="100"/>
      <c r="R12" s="158"/>
      <c r="S12" s="99" t="s">
        <v>48</v>
      </c>
      <c r="T12" s="101"/>
    </row>
    <row r="13" spans="2:20" x14ac:dyDescent="0.3">
      <c r="B13" s="158"/>
      <c r="C13" s="100" t="s">
        <v>51</v>
      </c>
      <c r="D13" s="100"/>
      <c r="R13" s="158"/>
      <c r="S13" s="99" t="s">
        <v>48</v>
      </c>
      <c r="T13" s="101"/>
    </row>
    <row r="14" spans="2:20" x14ac:dyDescent="0.3">
      <c r="N14" s="153" t="s">
        <v>73</v>
      </c>
      <c r="O14" s="100" t="s">
        <v>31</v>
      </c>
      <c r="P14" s="100"/>
    </row>
    <row r="15" spans="2:20" x14ac:dyDescent="0.3">
      <c r="N15" s="154"/>
      <c r="O15" s="100" t="s">
        <v>32</v>
      </c>
      <c r="P15" s="100"/>
    </row>
    <row r="16" spans="2:20" x14ac:dyDescent="0.3">
      <c r="N16" s="154"/>
      <c r="O16" s="100" t="s">
        <v>33</v>
      </c>
      <c r="P16" s="100"/>
    </row>
    <row r="17" spans="2:20" x14ac:dyDescent="0.3">
      <c r="N17" s="154"/>
      <c r="O17" s="100" t="s">
        <v>34</v>
      </c>
      <c r="P17" s="100"/>
    </row>
    <row r="18" spans="2:20" x14ac:dyDescent="0.3">
      <c r="N18" s="154"/>
      <c r="O18" s="100" t="s">
        <v>35</v>
      </c>
      <c r="P18" s="100"/>
    </row>
    <row r="19" spans="2:20" x14ac:dyDescent="0.3">
      <c r="N19" s="154"/>
      <c r="O19" s="100" t="s">
        <v>36</v>
      </c>
      <c r="P19" s="100"/>
    </row>
    <row r="20" spans="2:20" x14ac:dyDescent="0.3">
      <c r="N20" s="154"/>
      <c r="O20" s="100" t="s">
        <v>37</v>
      </c>
      <c r="P20" s="100"/>
    </row>
    <row r="21" spans="2:20" x14ac:dyDescent="0.3">
      <c r="N21" s="154"/>
      <c r="O21" s="100" t="s">
        <v>38</v>
      </c>
      <c r="P21" s="100"/>
    </row>
    <row r="22" spans="2:20" x14ac:dyDescent="0.3">
      <c r="N22" s="155"/>
      <c r="O22" s="100" t="s">
        <v>39</v>
      </c>
      <c r="P22" s="100"/>
    </row>
    <row r="25" spans="2:20" x14ac:dyDescent="0.3">
      <c r="B25" s="98" t="s">
        <v>71</v>
      </c>
    </row>
    <row r="27" spans="2:20" x14ac:dyDescent="0.3">
      <c r="B27" s="151" t="s">
        <v>68</v>
      </c>
      <c r="C27" s="102">
        <v>25</v>
      </c>
      <c r="D27" s="102"/>
      <c r="F27" s="159" t="s">
        <v>69</v>
      </c>
      <c r="G27" s="102" t="s">
        <v>5</v>
      </c>
      <c r="H27" s="97"/>
      <c r="J27" s="151" t="s">
        <v>14</v>
      </c>
      <c r="K27" s="103" t="s">
        <v>15</v>
      </c>
      <c r="L27" s="103"/>
      <c r="N27" s="152" t="s">
        <v>21</v>
      </c>
      <c r="O27" s="102">
        <v>25</v>
      </c>
      <c r="P27" s="102"/>
      <c r="R27" s="151" t="s">
        <v>22</v>
      </c>
      <c r="S27" s="102">
        <v>25</v>
      </c>
      <c r="T27" s="104"/>
    </row>
    <row r="28" spans="2:20" x14ac:dyDescent="0.3">
      <c r="B28" s="151"/>
      <c r="C28" s="102">
        <v>32</v>
      </c>
      <c r="D28" s="102"/>
      <c r="F28" s="159"/>
      <c r="G28" s="102" t="s">
        <v>6</v>
      </c>
      <c r="H28" s="97"/>
      <c r="J28" s="151"/>
      <c r="K28" s="103" t="s">
        <v>16</v>
      </c>
      <c r="L28" s="103"/>
      <c r="N28" s="151"/>
      <c r="O28" s="102">
        <v>32</v>
      </c>
      <c r="P28" s="102"/>
      <c r="R28" s="151"/>
      <c r="S28" s="102">
        <v>32</v>
      </c>
      <c r="T28" s="104"/>
    </row>
    <row r="29" spans="2:20" x14ac:dyDescent="0.3">
      <c r="B29" s="151"/>
      <c r="C29" s="102">
        <v>40</v>
      </c>
      <c r="D29" s="102"/>
      <c r="F29" s="159"/>
      <c r="G29" s="102" t="s">
        <v>7</v>
      </c>
      <c r="H29" s="97"/>
      <c r="J29" s="151"/>
      <c r="K29" s="103" t="s">
        <v>17</v>
      </c>
      <c r="L29" s="103"/>
      <c r="N29" s="151"/>
      <c r="O29" s="102">
        <v>40</v>
      </c>
      <c r="P29" s="102"/>
      <c r="R29" s="151"/>
      <c r="S29" s="102">
        <v>40</v>
      </c>
      <c r="T29" s="104"/>
    </row>
    <row r="30" spans="2:20" x14ac:dyDescent="0.3">
      <c r="B30" s="151"/>
      <c r="C30" s="102">
        <v>50</v>
      </c>
      <c r="D30" s="102"/>
      <c r="F30" s="159"/>
      <c r="G30" s="102" t="s">
        <v>8</v>
      </c>
      <c r="H30" s="97"/>
      <c r="J30" s="151"/>
      <c r="K30" s="103" t="s">
        <v>18</v>
      </c>
      <c r="L30" s="103"/>
      <c r="N30" s="151"/>
      <c r="O30" s="102">
        <v>50</v>
      </c>
      <c r="P30" s="102"/>
      <c r="R30" s="151"/>
      <c r="S30" s="102">
        <v>50</v>
      </c>
      <c r="T30" s="104"/>
    </row>
    <row r="31" spans="2:20" x14ac:dyDescent="0.3">
      <c r="F31" s="159"/>
      <c r="G31" s="102" t="s">
        <v>9</v>
      </c>
      <c r="H31" s="97"/>
      <c r="J31" s="151"/>
      <c r="K31" s="103" t="s">
        <v>19</v>
      </c>
      <c r="L31" s="103"/>
    </row>
    <row r="32" spans="2:20" x14ac:dyDescent="0.3">
      <c r="B32" s="156" t="s">
        <v>23</v>
      </c>
      <c r="C32" s="103" t="s">
        <v>24</v>
      </c>
      <c r="D32" s="103"/>
      <c r="F32" s="159"/>
      <c r="G32" s="102" t="s">
        <v>10</v>
      </c>
      <c r="H32" s="97"/>
      <c r="J32" s="151"/>
      <c r="K32" s="103" t="s">
        <v>20</v>
      </c>
      <c r="L32" s="103"/>
    </row>
    <row r="33" spans="2:8" x14ac:dyDescent="0.3">
      <c r="B33" s="157"/>
      <c r="C33" s="103" t="s">
        <v>74</v>
      </c>
      <c r="D33" s="103"/>
      <c r="F33" s="159"/>
      <c r="G33" s="102" t="s">
        <v>11</v>
      </c>
      <c r="H33" s="97"/>
    </row>
    <row r="34" spans="2:8" x14ac:dyDescent="0.3">
      <c r="B34" s="157"/>
      <c r="C34" s="103" t="s">
        <v>75</v>
      </c>
      <c r="D34" s="103"/>
      <c r="F34" s="159"/>
      <c r="G34" s="102" t="s">
        <v>12</v>
      </c>
      <c r="H34" s="97"/>
    </row>
    <row r="35" spans="2:8" x14ac:dyDescent="0.3">
      <c r="B35" s="157"/>
      <c r="C35" s="103" t="s">
        <v>74</v>
      </c>
      <c r="D35" s="103"/>
      <c r="F35" s="159"/>
      <c r="G35" s="102" t="s">
        <v>13</v>
      </c>
      <c r="H35" s="97"/>
    </row>
  </sheetData>
  <mergeCells count="14">
    <mergeCell ref="F4:F12"/>
    <mergeCell ref="J4:J12"/>
    <mergeCell ref="N4:N12"/>
    <mergeCell ref="R4:R13"/>
    <mergeCell ref="B27:B30"/>
    <mergeCell ref="F27:F35"/>
    <mergeCell ref="B4:B5"/>
    <mergeCell ref="B6:B9"/>
    <mergeCell ref="B10:B13"/>
    <mergeCell ref="J27:J32"/>
    <mergeCell ref="N27:N30"/>
    <mergeCell ref="R27:R30"/>
    <mergeCell ref="N14:N22"/>
    <mergeCell ref="B32:B3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6:H23"/>
  <sheetViews>
    <sheetView topLeftCell="A10" zoomScale="160" zoomScaleNormal="160" workbookViewId="0">
      <selection activeCell="E28" sqref="E28"/>
    </sheetView>
  </sheetViews>
  <sheetFormatPr defaultRowHeight="16.5" x14ac:dyDescent="0.3"/>
  <cols>
    <col min="5" max="7" width="12.625" customWidth="1"/>
  </cols>
  <sheetData>
    <row r="16" spans="4:8" x14ac:dyDescent="0.3">
      <c r="D16" s="168"/>
      <c r="E16" s="168"/>
      <c r="F16" s="168"/>
      <c r="G16" s="168"/>
      <c r="H16" s="168"/>
    </row>
    <row r="17" spans="4:8" ht="19.5" x14ac:dyDescent="0.3">
      <c r="D17" s="168"/>
      <c r="E17" s="169" t="s">
        <v>29</v>
      </c>
      <c r="F17" s="169"/>
      <c r="G17" s="169"/>
      <c r="H17" s="168"/>
    </row>
    <row r="18" spans="4:8" ht="17.25" thickBot="1" x14ac:dyDescent="0.35">
      <c r="D18" s="168"/>
      <c r="E18" s="170" t="s">
        <v>30</v>
      </c>
      <c r="F18" s="170"/>
      <c r="G18" s="170"/>
      <c r="H18" s="168"/>
    </row>
    <row r="19" spans="4:8" ht="17.25" thickTop="1" x14ac:dyDescent="0.3">
      <c r="D19" s="168"/>
      <c r="E19" s="171"/>
      <c r="F19" s="172"/>
      <c r="G19" s="172"/>
      <c r="H19" s="168"/>
    </row>
    <row r="20" spans="4:8" x14ac:dyDescent="0.3">
      <c r="D20" s="168"/>
      <c r="E20" s="171"/>
      <c r="F20" s="172"/>
      <c r="G20" s="172"/>
      <c r="H20" s="168"/>
    </row>
    <row r="21" spans="4:8" x14ac:dyDescent="0.3">
      <c r="D21" s="168"/>
      <c r="E21" s="168"/>
      <c r="F21" s="168"/>
      <c r="G21" s="168"/>
      <c r="H21" s="168"/>
    </row>
    <row r="22" spans="4:8" x14ac:dyDescent="0.3">
      <c r="D22" s="168"/>
      <c r="E22" s="168"/>
      <c r="F22" s="168"/>
      <c r="G22" s="168"/>
      <c r="H22" s="168"/>
    </row>
    <row r="23" spans="4:8" x14ac:dyDescent="0.3">
      <c r="D23" s="168"/>
      <c r="E23" s="168"/>
      <c r="F23" s="168"/>
      <c r="G23" s="168"/>
      <c r="H23" s="168"/>
    </row>
  </sheetData>
  <mergeCells count="2">
    <mergeCell ref="E18:G18"/>
    <mergeCell ref="E17:G17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산출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주식회사나이스엔테크</dc:creator>
  <cp:lastModifiedBy>주식회사나이스엔테크</cp:lastModifiedBy>
  <cp:lastPrinted>2026-10-22T07:36:08Z</cp:lastPrinted>
  <dcterms:created xsi:type="dcterms:W3CDTF">2026-10-22T06:14:58Z</dcterms:created>
  <dcterms:modified xsi:type="dcterms:W3CDTF">2026-10-22T07:36:57Z</dcterms:modified>
</cp:coreProperties>
</file>